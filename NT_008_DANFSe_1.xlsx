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<sst xmlns="http://schemas.openxmlformats.org/spreadsheetml/2006/main" count="428" uniqueCount="295">
  <si>
    <t xml:space="preserve">bloco</t>
  </si>
  <si>
    <t xml:space="preserve">Texto</t>
  </si>
  <si>
    <t xml:space="preserve">caminho</t>
  </si>
  <si>
    <t xml:space="preserve">nome</t>
  </si>
  <si>
    <t xml:space="preserve">campo</t>
  </si>
  <si>
    <t xml:space="preserve">Alt.</t>
  </si>
  <si>
    <t xml:space="preserve">Larg.</t>
  </si>
  <si>
    <t xml:space="preserve">Esq.</t>
  </si>
  <si>
    <t xml:space="preserve">Sup.</t>
  </si>
  <si>
    <t xml:space="preserve">F09</t>
  </si>
  <si>
    <t xml:space="preserve">F10</t>
  </si>
  <si>
    <t xml:space="preserve">arial7</t>
  </si>
  <si>
    <t xml:space="preserve">arial6</t>
  </si>
  <si>
    <t xml:space="preserve">san7</t>
  </si>
  <si>
    <t xml:space="preserve">CABEÇALHO </t>
  </si>
  <si>
    <t xml:space="preserve">sh</t>
  </si>
  <si>
    <t xml:space="preserve">LOGOMARCA DA NFSe </t>
  </si>
  <si>
    <t xml:space="preserve">QUADRO DA DESCRIÇÃO "DANFSe..." </t>
  </si>
  <si>
    <t xml:space="preserve">QUADRO DA IDENT. MUNICÍPIO/AMBIENTE </t>
  </si>
  <si>
    <t xml:space="preserve"> MUNICÍPIO </t>
  </si>
  <si>
    <t xml:space="preserve">NFSe/infNFSe/ + NFSe/infNFSe/emi t/enderNac/ </t>
  </si>
  <si>
    <t xml:space="preserve">xLocEmi + UF </t>
  </si>
  <si>
    <t xml:space="preserve">I</t>
  </si>
  <si>
    <t xml:space="preserve">AMBIENTE GERADOR </t>
  </si>
  <si>
    <t xml:space="preserve">NFSe/infNFSe/ </t>
  </si>
  <si>
    <t xml:space="preserve">ambGer</t>
  </si>
  <si>
    <t xml:space="preserve">TIPO DE AMBIENTE </t>
  </si>
  <si>
    <t xml:space="preserve">NFSe/infNFSe/DPS /infDPS/ </t>
  </si>
  <si>
    <t xml:space="preserve">tpAmb</t>
  </si>
  <si>
    <t xml:space="preserve">DADOS DA NFS-e </t>
  </si>
  <si>
    <t xml:space="preserve">CHAVE DE ACESSO DA NFS-E </t>
  </si>
  <si>
    <t xml:space="preserve">NFSe/infNFSe/</t>
  </si>
  <si>
    <t xml:space="preserve">id</t>
  </si>
  <si>
    <t xml:space="preserve"> NÚMERO DA NFS-e  </t>
  </si>
  <si>
    <t xml:space="preserve">nNFSe</t>
  </si>
  <si>
    <t xml:space="preserve">COMPETÊNCIA DA NFS-e </t>
  </si>
  <si>
    <t xml:space="preserve">NFSe/infNFSe/DPS /infDPS/</t>
  </si>
  <si>
    <t xml:space="preserve">dCompet</t>
  </si>
  <si>
    <t xml:space="preserve"> DATA E HORA DA EMISSÃO DA NFS-E N</t>
  </si>
  <si>
    <t xml:space="preserve">dhProc</t>
  </si>
  <si>
    <t xml:space="preserve">NÚMERO DA DPS </t>
  </si>
  <si>
    <t xml:space="preserve">nDPS</t>
  </si>
  <si>
    <t xml:space="preserve">SÉRIE DA DPS </t>
  </si>
  <si>
    <t xml:space="preserve">serie</t>
  </si>
  <si>
    <t xml:space="preserve">DATA E HORA DA EMISSÃO DA DPS </t>
  </si>
  <si>
    <t xml:space="preserve">dhEmi</t>
  </si>
  <si>
    <t xml:space="preserve"> EMITENTE DA NFS-E </t>
  </si>
  <si>
    <t xml:space="preserve">tpEmit</t>
  </si>
  <si>
    <t xml:space="preserve"> SITUAÇÃO DA NFS-E </t>
  </si>
  <si>
    <t xml:space="preserve">cStat</t>
  </si>
  <si>
    <t xml:space="preserve">FINALIDADE </t>
  </si>
  <si>
    <t xml:space="preserve">NFSe/infNFSe/DPS /infDPS/IBSCBS/ </t>
  </si>
  <si>
    <t xml:space="preserve">finNFSe</t>
  </si>
  <si>
    <t xml:space="preserve">QUADRO DO QR CODE </t>
  </si>
  <si>
    <t xml:space="preserve">QUADRO COMPLEMENTO QR CODE </t>
  </si>
  <si>
    <t xml:space="preserve">PRESTADOR / FORNECEDOR </t>
  </si>
  <si>
    <t xml:space="preserve">for</t>
  </si>
  <si>
    <t xml:space="preserve"> CNPJ / CPF / NIF </t>
  </si>
  <si>
    <t xml:space="preserve">NFSe/infNFSe/DPS /infDPS/prest/</t>
  </si>
  <si>
    <t xml:space="preserve">pPrestCNPJ</t>
  </si>
  <si>
    <t xml:space="preserve">CNPJ</t>
  </si>
  <si>
    <t xml:space="preserve">INDICADOR MUNICIPAL (INSCRIÇÃO) </t>
  </si>
  <si>
    <t xml:space="preserve">NFSe/infNFSe/DPS /infDPS/prest/ </t>
  </si>
  <si>
    <t xml:space="preserve">pPrestIM</t>
  </si>
  <si>
    <t xml:space="preserve">IM</t>
  </si>
  <si>
    <t xml:space="preserve">TELEFONE </t>
  </si>
  <si>
    <t xml:space="preserve">pPrestFone</t>
  </si>
  <si>
    <t xml:space="preserve">fone</t>
  </si>
  <si>
    <t xml:space="preserve">NOME / NOME EMPRESARIAL </t>
  </si>
  <si>
    <t xml:space="preserve">pPrestNome</t>
  </si>
  <si>
    <t xml:space="preserve">xNome</t>
  </si>
  <si>
    <t xml:space="preserve">MUNICÍPIO / SIGLA UF </t>
  </si>
  <si>
    <t xml:space="preserve">NFSe/infNFSe/DPS /infDPS/prest/end /endNac/ ou NFSe/infNFSe/DPS /infDPS/prest/end /endExt/ </t>
  </si>
  <si>
    <t xml:space="preserve">pPrestEndMun</t>
  </si>
  <si>
    <t xml:space="preserve">cMun ou xCidade </t>
  </si>
  <si>
    <t xml:space="preserve">CÓDIGO IBGE / CEP </t>
  </si>
  <si>
    <t xml:space="preserve">pPrestEndCEP</t>
  </si>
  <si>
    <t xml:space="preserve">cMun + CEP ou cEndPost </t>
  </si>
  <si>
    <t xml:space="preserve">ENDEREÇO </t>
  </si>
  <si>
    <t xml:space="preserve">NFSe/infNFSe/DPS /infDPS/prest/end / </t>
  </si>
  <si>
    <t xml:space="preserve">pPrestEndUF</t>
  </si>
  <si>
    <t xml:space="preserve">xLgr, nro, xCpl, xBairro</t>
  </si>
  <si>
    <t xml:space="preserve"> EMAIL </t>
  </si>
  <si>
    <t xml:space="preserve">pPrestEmail</t>
  </si>
  <si>
    <t xml:space="preserve">email</t>
  </si>
  <si>
    <t xml:space="preserve">SIMPLES NACIONAL NA DATA DE COMPETÊNCIA </t>
  </si>
  <si>
    <t xml:space="preserve">NFSe/infNFSe/DPS /infDPS/prest/reg Trib/ </t>
  </si>
  <si>
    <t xml:space="preserve">sopSimpNac </t>
  </si>
  <si>
    <t xml:space="preserve">opSimpNac </t>
  </si>
  <si>
    <t xml:space="preserve">REGIME DE APURAÇÃO TRIBUTÁRIA PELO SN </t>
  </si>
  <si>
    <t xml:space="preserve">sregApTribSN </t>
  </si>
  <si>
    <t xml:space="preserve">regApTribSN </t>
  </si>
  <si>
    <t xml:space="preserve">TOMADOR / ADQUIRENTE </t>
  </si>
  <si>
    <t xml:space="preserve">toma</t>
  </si>
  <si>
    <t xml:space="preserve">CNPJ / CPF / NIF </t>
  </si>
  <si>
    <t xml:space="preserve">NFSe/infNFSe/DPS /infDPS/toma/ </t>
  </si>
  <si>
    <t xml:space="preserve">pTomaCNPJCpf</t>
  </si>
  <si>
    <t xml:space="preserve">NFSe/infNFSe/DPS /infDPS/toma/ I</t>
  </si>
  <si>
    <t xml:space="preserve">pTomaIM</t>
  </si>
  <si>
    <t xml:space="preserve">pTomaFone</t>
  </si>
  <si>
    <t xml:space="preserve">NFSe/infNFSe/DPS /infDPS/toma/</t>
  </si>
  <si>
    <t xml:space="preserve">pTomaNome</t>
  </si>
  <si>
    <t xml:space="preserve">NFSe/infNFSe/DPS /infDPS/toma/end /endNac/ ou NFSe/infNFSe/DPS /infDPS/toma/end /endExt/ </t>
  </si>
  <si>
    <t xml:space="preserve">pTomaMun</t>
  </si>
  <si>
    <t xml:space="preserve">pTomaCEP</t>
  </si>
  <si>
    <t xml:space="preserve">cMun + CEP ou cEndPost</t>
  </si>
  <si>
    <t xml:space="preserve">NFSe/infNFSe/DPS /infDPS/toma/end / </t>
  </si>
  <si>
    <t xml:space="preserve">pTomaEndLogr</t>
  </si>
  <si>
    <t xml:space="preserve">E-MAIL </t>
  </si>
  <si>
    <t xml:space="preserve">pTomaEmail</t>
  </si>
  <si>
    <t xml:space="preserve">DESTINÁRIO DA OPERAÇÃO </t>
  </si>
  <si>
    <t xml:space="preserve">dest</t>
  </si>
  <si>
    <t xml:space="preserve">NFSe/infNFSe/DPS /infDPS/IBSCBS/d est/ </t>
  </si>
  <si>
    <t xml:space="preserve">pDestCNPJCpf</t>
  </si>
  <si>
    <t xml:space="preserve">pDestFone</t>
  </si>
  <si>
    <t xml:space="preserve">pDestNome</t>
  </si>
  <si>
    <t xml:space="preserve">NFSe/infNFSe/DPS /infDPS/IBSCBS/d est/end/endNac/ ou NFSe/infNFSe/DPS /infDPS/IBSCBS/d est/end/endExt/ </t>
  </si>
  <si>
    <t xml:space="preserve">pDestMun</t>
  </si>
  <si>
    <t xml:space="preserve">pDestCEP</t>
  </si>
  <si>
    <t xml:space="preserve">NFSe/infNFSe/DPS /infDPS/IBSCBS/d est/end/ </t>
  </si>
  <si>
    <t xml:space="preserve">pDestEndLogr</t>
  </si>
  <si>
    <t xml:space="preserve">xLgr, nro, xCpl, xBairro </t>
  </si>
  <si>
    <t xml:space="preserve">pDestEmail</t>
  </si>
  <si>
    <t xml:space="preserve">INTERMEDIÁRIO DA OPERAÇÃO </t>
  </si>
  <si>
    <t xml:space="preserve">interm</t>
  </si>
  <si>
    <t xml:space="preserve">NFSe/infNFSe/DPS /infDPS/interm/ </t>
  </si>
  <si>
    <t xml:space="preserve">pIntermCNPJCpfF</t>
  </si>
  <si>
    <t xml:space="preserve">pIntermIM</t>
  </si>
  <si>
    <t xml:space="preserve">NFSe/infNFSe/DPS /infDPS/interm/</t>
  </si>
  <si>
    <t xml:space="preserve">pIntermFone</t>
  </si>
  <si>
    <t xml:space="preserve">pIntermNome</t>
  </si>
  <si>
    <t xml:space="preserve">NFSe/infNFSe/DPS /infDPS/interm/en d/endNac/ ou NFSe/infNFSe/DPS /infDPS/interm/en d/endExt/ </t>
  </si>
  <si>
    <t xml:space="preserve">pIntermMun</t>
  </si>
  <si>
    <t xml:space="preserve">cMun ou xCidade</t>
  </si>
  <si>
    <t xml:space="preserve">pIntermCEP</t>
  </si>
  <si>
    <t xml:space="preserve">NFSe/infNFSe/DPS /infDPS/interm/en d/ </t>
  </si>
  <si>
    <t xml:space="preserve">pIntermEndLogr</t>
  </si>
  <si>
    <t xml:space="preserve">pIntermEmail</t>
  </si>
  <si>
    <t xml:space="preserve">SERVIÇO PRESTADO </t>
  </si>
  <si>
    <t xml:space="preserve">serv</t>
  </si>
  <si>
    <t xml:space="preserve">CÓDIGO DE TRIBUTAÇÃO NACIONAL / MUNICIPAL </t>
  </si>
  <si>
    <t xml:space="preserve">NFSe/infNFSe/DPS /infDPS/serv/cSer v/ + NFSe/infNFSe/ </t>
  </si>
  <si>
    <t xml:space="preserve">cTribNacMun</t>
  </si>
  <si>
    <t xml:space="preserve">cTribNac + cTribMun </t>
  </si>
  <si>
    <t xml:space="preserve">CÓDIGO DA NBS </t>
  </si>
  <si>
    <t xml:space="preserve">NFSe/infNFSe/DPS /infDPS/serv/cSer v/ </t>
  </si>
  <si>
    <t xml:space="preserve">cNBS</t>
  </si>
  <si>
    <t xml:space="preserve">LOCAL DA PRESTAÇÃO / SIGLA UF / PAÍS </t>
  </si>
  <si>
    <t xml:space="preserve">NFSe/infNFSe/ + NFSe/infNFSe/DPS /infDPS/serv/locPr est/ </t>
  </si>
  <si>
    <t xml:space="preserve">xLocPrestacao</t>
  </si>
  <si>
    <t xml:space="preserve">xLocPres tacao + cPaisPres tacao</t>
  </si>
  <si>
    <t xml:space="preserve">DESCRIÇÃO DO CÓDIGO DE TRIBUTAÇÃO NACIONAL / MUNICIPAL </t>
  </si>
  <si>
    <t xml:space="preserve">xTribNacMun</t>
  </si>
  <si>
    <t xml:space="preserve">xTribNac + xTribMun</t>
  </si>
  <si>
    <t xml:space="preserve">DESCRIÇÃO DO SERVIÇO </t>
  </si>
  <si>
    <t xml:space="preserve">xDescServ</t>
  </si>
  <si>
    <t xml:space="preserve">xDescSer v </t>
  </si>
  <si>
    <t xml:space="preserve">TRIBUTAÇÃO MUNICIPAL (ISSQN) </t>
  </si>
  <si>
    <t xml:space="preserve">trib</t>
  </si>
  <si>
    <t xml:space="preserve">TIPO DE TRIBUTAÇÃO DO ISSQN </t>
  </si>
  <si>
    <t xml:space="preserve">NFSe/infNFSe/DPS /infDPS/valores/tri b/tribMun/ </t>
  </si>
  <si>
    <t xml:space="preserve">tribISSQN </t>
  </si>
  <si>
    <t xml:space="preserve">MUNICÍPIO / SIGLA UF / PAÍS DA INCIDÊNCIA DO ISSQN </t>
  </si>
  <si>
    <t xml:space="preserve">NFSe/infNFSe/ + NFSe/infNFSe/DPS /infDPS/valores/tri b/tribMun/ </t>
  </si>
  <si>
    <t xml:space="preserve">xLocIncidencia</t>
  </si>
  <si>
    <t xml:space="preserve">xLocIncid + cPaisResult </t>
  </si>
  <si>
    <t xml:space="preserve">REGIME ESPECIAL DE TRIBUTAÇÃO DO ISSQN </t>
  </si>
  <si>
    <t xml:space="preserve">regEspTrib </t>
  </si>
  <si>
    <t xml:space="preserve">TIPO DE IMUNIDADE DO ISSQN </t>
  </si>
  <si>
    <t xml:space="preserve">stpImunidade</t>
  </si>
  <si>
    <t xml:space="preserve">tpImunidade</t>
  </si>
  <si>
    <t xml:space="preserve">SUSPENSÃO DA EXIGIBILIDADE DO ISSQN </t>
  </si>
  <si>
    <t xml:space="preserve">NFSe/infNFSe/DPS /infDPS/valores/tri b/tribMun/exigSus p/ </t>
  </si>
  <si>
    <t xml:space="preserve">stpSusp</t>
  </si>
  <si>
    <t xml:space="preserve">tpSusp</t>
  </si>
  <si>
    <t xml:space="preserve">NÚMERO PROCESSO SUSPENSÃO </t>
  </si>
  <si>
    <t xml:space="preserve">nProcesso </t>
  </si>
  <si>
    <t xml:space="preserve">BENEFÍCIO MUNICIPAL </t>
  </si>
  <si>
    <t xml:space="preserve">NFSe/infNFSe/valo res/ </t>
  </si>
  <si>
    <t xml:space="preserve">stpBM</t>
  </si>
  <si>
    <t xml:space="preserve">tpBM</t>
  </si>
  <si>
    <t xml:space="preserve">CÁLCULO DO BM </t>
  </si>
  <si>
    <t xml:space="preserve">NFSe/infNFSe/valo res/ ou NFSe/infNFSe/DPS /infDPS/valores/tri b/tribMun/BM/ </t>
  </si>
  <si>
    <t xml:space="preserve">vCalcBMvRedBCBM</t>
  </si>
  <si>
    <t xml:space="preserve">vCalcBM ou vRedBCBM </t>
  </si>
  <si>
    <t xml:space="preserve">TOTAL DEDUÇÕES/REDUÇÕES </t>
  </si>
  <si>
    <t xml:space="preserve">NFSe/infNFSe/DPS /infDPS/valores/v DedRed/ ou NFSe/infNFSe/valo res/ + NFSe/infNFSe/IBS CBS/valores/ </t>
  </si>
  <si>
    <t xml:space="preserve">vDRvCalcDRvCalcReeRepRes </t>
  </si>
  <si>
    <t xml:space="preserve">vDR ou vCalcDR + vCalcReeRepRes </t>
  </si>
  <si>
    <t xml:space="preserve">DESCONTO INCONDICIONADO </t>
  </si>
  <si>
    <t xml:space="preserve">NFSe/infNFSe/DPS /infDPS/valores/v DescCondIncond/ </t>
  </si>
  <si>
    <t xml:space="preserve">vDescIncond </t>
  </si>
  <si>
    <t xml:space="preserve">BC ISSQN </t>
  </si>
  <si>
    <t xml:space="preserve">vBC</t>
  </si>
  <si>
    <t xml:space="preserve">ALÍQUOTA APLICADA </t>
  </si>
  <si>
    <t xml:space="preserve">pAliqAplic </t>
  </si>
  <si>
    <t xml:space="preserve">RETENÇÃO DO ISSQN </t>
  </si>
  <si>
    <t xml:space="preserve">NFSe/infNFSe/DPS /infDPS/valores/tri b/tribMun/  </t>
  </si>
  <si>
    <t xml:space="preserve">stpRetISSQN</t>
  </si>
  <si>
    <t xml:space="preserve">tpRetISSQN </t>
  </si>
  <si>
    <t xml:space="preserve">ISSQN APURADO </t>
  </si>
  <si>
    <t xml:space="preserve">vISSQN</t>
  </si>
  <si>
    <t xml:space="preserve">TRIBUTAÇÃO FEDERAL (EXCETO CBS)</t>
  </si>
  <si>
    <t xml:space="preserve">fed</t>
  </si>
  <si>
    <t xml:space="preserve">IRRF </t>
  </si>
  <si>
    <t xml:space="preserve">NFSe/infNFSe/DPS /infDPS/valores/tri b/tribFed/ </t>
  </si>
  <si>
    <t xml:space="preserve">vRetIRRF</t>
  </si>
  <si>
    <t xml:space="preserve">CONTRIBUIÇÃO PREVIDENCIÁRIA - RETIDA </t>
  </si>
  <si>
    <t xml:space="preserve">vRetCP</t>
  </si>
  <si>
    <t xml:space="preserve">CONTRIBUIÇÕES SOCIAIS - RETIDAS </t>
  </si>
  <si>
    <t xml:space="preserve">vRetCSLL </t>
  </si>
  <si>
    <t xml:space="preserve">PIS - DÉBITO APURAÇÃO PRÓPRIA </t>
  </si>
  <si>
    <t xml:space="preserve">NFSe/infNFSe/DPS /infDPS/valores/tri b/tribFed/piscofins / </t>
  </si>
  <si>
    <t xml:space="preserve">vPis</t>
  </si>
  <si>
    <t xml:space="preserve">COFINS - DÉBITO APURAÇÃO PRÓPRIA </t>
  </si>
  <si>
    <t xml:space="preserve">vCofins</t>
  </si>
  <si>
    <t xml:space="preserve">DESCRIÇÃO CONTRIB. SOCIAIS - RETIDAS </t>
  </si>
  <si>
    <t xml:space="preserve">NFSe/infNFSe/DPS /infDPS/valores/tri b/tribFed/piscofins /  </t>
  </si>
  <si>
    <t xml:space="preserve">stpRetPisCofins</t>
  </si>
  <si>
    <t xml:space="preserve">tpRetPisCofins</t>
  </si>
  <si>
    <t xml:space="preserve">TRIBUTAÇÃO IBS / CBS </t>
  </si>
  <si>
    <t xml:space="preserve">ibs</t>
  </si>
  <si>
    <t xml:space="preserve">CST / CCLASSTRIB </t>
  </si>
  <si>
    <t xml:space="preserve">NFSe/infNFSe/DPS /infDPS/IBSCBS/valores/trib/gIBSCBS/</t>
  </si>
  <si>
    <t xml:space="preserve">scClassTrib </t>
  </si>
  <si>
    <t xml:space="preserve">CST + cClassTrib </t>
  </si>
  <si>
    <t xml:space="preserve">INDICADOR DE OPERAÇÃO / CÓDIGO IBGE INCIDÊNCIA / MUNICÍPIO INCIDÊNCIA / SIGLA UF </t>
  </si>
  <si>
    <t xml:space="preserve">NFSe/infNFSe/DPS /infDPS/IBSCBS/ + NFSe/infNFSe/IBS CBS/ + NFSe/infNFSe/IBS CBS/ </t>
  </si>
  <si>
    <t xml:space="preserve">xLocalidadeIncid</t>
  </si>
  <si>
    <t xml:space="preserve">cIndOp + cLocalida deIncid + xLocalida deIncid + </t>
  </si>
  <si>
    <t xml:space="preserve">EXCLUSÕES E REDUÇÕES DA BÁSE DE CLÁCULO </t>
  </si>
  <si>
    <t xml:space="preserve">NFSe/infNFSe/DPS /infDPS/valores/v DescCondIncond/ + NFSe/infNFSe/IBS CBS/valores/ + NFSe/infNFSe/valo res/ + NFSe/infNFSe/DPS /infDPS/valores/tri b/tribFed/piscofins / + NFSe/infNFSe/DPS /infDPS/valores/tri b/tribFed/piscofins / </t>
  </si>
  <si>
    <t xml:space="preserve">vDescIncondvCalcReeRepRes</t>
  </si>
  <si>
    <t xml:space="preserve">vDescIncond + vCalcReeRepRes + vISSQN + vPIS + vCOFINS</t>
  </si>
  <si>
    <t xml:space="preserve">BASE DE CÁLCULO APÓS EXCLUSÕES E REDUÇÕES </t>
  </si>
  <si>
    <t xml:space="preserve">NFSe/infNFSe/IBS CBS/valores/ </t>
  </si>
  <si>
    <t xml:space="preserve">RED. ALÍQUOTA IBS / RED. ALÍQUOTA CBS </t>
  </si>
  <si>
    <t xml:space="preserve">NFSe/infNFSe/IBS CBS/valores/uf/ + NFSe/infNFSe/IBS CBS/valores/mun/ + NFSe/infNFSe/IBS CBS/valores/fed/ </t>
  </si>
  <si>
    <t xml:space="preserve">pRedAliqUFpRedAliqMunpRedAliqCBS </t>
  </si>
  <si>
    <t xml:space="preserve">pRedAliqUF + pRedAliqMun + pRedAliqCBS </t>
  </si>
  <si>
    <t xml:space="preserve">ALÍQUOTA - IBS UF / IBS MUN </t>
  </si>
  <si>
    <t xml:space="preserve">NFSe/infNFSe/IBS CBS/valores/uf/ + NFSe/infNFSe/IBS CBS/valores/mun/ </t>
  </si>
  <si>
    <t xml:space="preserve">pIBSUFpIBSMun</t>
  </si>
  <si>
    <t xml:space="preserve">pIBSUF + pIBSMun</t>
  </si>
  <si>
    <t xml:space="preserve">ALÍQ. EFETIVA MUNICIPAL - IBS </t>
  </si>
  <si>
    <t xml:space="preserve">NFSe/infNFSe/IBS CBS/valores/mun/ </t>
  </si>
  <si>
    <t xml:space="preserve">pAliqEfetMun </t>
  </si>
  <si>
    <t xml:space="preserve">VALOR APURADO MUNICIPAL - IBS </t>
  </si>
  <si>
    <t xml:space="preserve">NFSe/infNFSe/IBS CBS/totCIBS/gIBS /gIBSMunTot/ </t>
  </si>
  <si>
    <t xml:space="preserve">vIBSMun</t>
  </si>
  <si>
    <t xml:space="preserve">ALÍQ. EFETIVA ESTADUAL - IBS </t>
  </si>
  <si>
    <t xml:space="preserve">NFSe/infNFSe/IBS CBS/valores/uf/ </t>
  </si>
  <si>
    <t xml:space="preserve">pAliqEfetUF </t>
  </si>
  <si>
    <t xml:space="preserve">VALOR APURADO ESTADUAL - IBS </t>
  </si>
  <si>
    <t xml:space="preserve">NFSe/infNFSe/IBS CBS/totCIBS/gIBS /gIBSUFTot/ </t>
  </si>
  <si>
    <t xml:space="preserve">vIBSUF</t>
  </si>
  <si>
    <t xml:space="preserve">VALOR TOTAL APURADO - IBS </t>
  </si>
  <si>
    <t xml:space="preserve">NFSe/infNFSe/IBS CBS/totCIBS/gIBS / </t>
  </si>
  <si>
    <t xml:space="preserve">vIBSTot</t>
  </si>
  <si>
    <t xml:space="preserve">ALÍQUOTA - CBS </t>
  </si>
  <si>
    <t xml:space="preserve">NFSe/infNFSe/IBS CBS/valores/fed/ </t>
  </si>
  <si>
    <t xml:space="preserve">pCBS</t>
  </si>
  <si>
    <t xml:space="preserve">ALÍQUOTA EFETIVA - CBS </t>
  </si>
  <si>
    <t xml:space="preserve">pAliqEfetCBS </t>
  </si>
  <si>
    <t xml:space="preserve">VALOR TOTAL APURADO - CBS </t>
  </si>
  <si>
    <t xml:space="preserve">NFSe/infNFSe/IBS CBS/totCIBS/gCB S/ </t>
  </si>
  <si>
    <t xml:space="preserve">vCBS</t>
  </si>
  <si>
    <t xml:space="preserve">VALOR TOTAL DA NFS-E </t>
  </si>
  <si>
    <t xml:space="preserve">val</t>
  </si>
  <si>
    <t xml:space="preserve">VALOR DA OPERAÇÃO / SERVIÇO </t>
  </si>
  <si>
    <t xml:space="preserve">NFSe/infNFSe/DPS /infDPS/valores/v ServPrest/ </t>
  </si>
  <si>
    <t xml:space="preserve">vServ</t>
  </si>
  <si>
    <t xml:space="preserve">DESCONTO CONDICIONADO </t>
  </si>
  <si>
    <t xml:space="preserve">vDescCond </t>
  </si>
  <si>
    <t xml:space="preserve">TOTAL DAS RETENÇÕES (ISSQN / FEDERAIS) </t>
  </si>
  <si>
    <t xml:space="preserve">NFSe/infNFSe/valo res/  </t>
  </si>
  <si>
    <t xml:space="preserve">vTotalRet </t>
  </si>
  <si>
    <t xml:space="preserve">VALOR LÍQUIDO DA NFS-e </t>
  </si>
  <si>
    <t xml:space="preserve">vLiq</t>
  </si>
  <si>
    <t xml:space="preserve">TOTAL DO IBS/CBS </t>
  </si>
  <si>
    <t xml:space="preserve">NFSe/infNFSe/IBS CBS/totCIBS/gIBS / +  NFSe/infNFSe/IBS CBS/totCIBS/gCB S/ </t>
  </si>
  <si>
    <t xml:space="preserve">vIBSTotvCBS </t>
  </si>
  <si>
    <t xml:space="preserve">vIBSTot + vCBS </t>
  </si>
  <si>
    <t xml:space="preserve">VALOR LÍQUIDO DA NFS-e + IBS/CBS </t>
  </si>
  <si>
    <t xml:space="preserve">NFSe/infNFSe/IBS CBS/totCIBS/ </t>
  </si>
  <si>
    <t xml:space="preserve">vTotNF</t>
  </si>
  <si>
    <t xml:space="preserve">INFORMAÇÕES COMPLEMENTARES </t>
  </si>
  <si>
    <t xml:space="preserve">inf</t>
  </si>
  <si>
    <t xml:space="preserve">NFSe/infNFSe/DPS /infDPS/serv/infoC ompl/ + NFSe/infNFSe/DPS /infDPS/subst + NFSe/infNFSe/DPS /infDPS/serv/infoC ompl/ + NFSe/infNFSe/DPS /infDPS/serv/obra / + NFSe/infNFSe/DPS /infDPS/IBSCBS/i movel/ + NFSe/infNFSe/DPS /infDPS/serv/atvE vento/ + NFSe/infNFSe/DPS /infDPS/serv/infoC ompl/ + NFSe/infNFSe/DPS /infDPS/serv/infoC ompl/ + NFSe/infNFSe/DPS /infDPS/serv/infoC ompl/gItemPed/ + NFSe/infNFSe/ + NFSe/infNFSe/DPS /infDPS/valores/tri b/totTrib/vTotTrib / ou NFSe/infNFSe/DPS /infDPS/valores/tri b/totTrib/pTotTrib / </t>
  </si>
  <si>
    <t xml:space="preserve">DescricaoServico</t>
  </si>
  <si>
    <t xml:space="preserve">xInfCom p + chSubstd a + docRef + cObra + inscImob Fisc + idAtvEvt + idDocTec + xPed + xItemPe d + xOutInf +  vTotTribF ed, vTotTrib Est e vTotTrib Mu ou pTotTrib Fed, pTotTrib Est e pTotTrib Mu </t>
  </si>
  <si>
    <t xml:space="preserve">CANHOTO </t>
  </si>
  <si>
    <t xml:space="preserve">DATA CIENTIFICAÇÃO </t>
  </si>
  <si>
    <t xml:space="preserve">INDENTIFICAÇÃO E ASSINATURA </t>
  </si>
  <si>
    <t xml:space="preserve">Nº NFS-E / CHAVE NFS-E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</si>
</sst>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S1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J3" activeCellId="0" sqref="J3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2" min="2" style="1" width="39.7"/>
    <col collapsed="false" customWidth="true" hidden="false" outlineLevel="0" max="3" min="3" style="1" width="24.76"/>
    <col collapsed="false" customWidth="true" hidden="false" outlineLevel="0" max="5" min="4" style="1" width="36.57"/>
  </cols>
  <sheetData>
    <row r="2" customFormat="false" ht="12.8" hidden="false" customHeight="false" outlineLevel="0" collapsed="false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0" t="s">
        <v>9</v>
      </c>
      <c r="K2" s="0" t="s">
        <v>10</v>
      </c>
      <c r="Q2" s="1" t="s">
        <v>11</v>
      </c>
      <c r="R2" s="1" t="s">
        <v>12</v>
      </c>
      <c r="S2" s="1" t="s">
        <v>13</v>
      </c>
    </row>
    <row r="3" customFormat="false" ht="12.8" hidden="false" customHeight="false" outlineLevel="0" collapsed="false">
      <c r="A3" s="1" t="n">
        <v>1</v>
      </c>
      <c r="B3" s="1" t="s">
        <v>14</v>
      </c>
      <c r="E3" s="1" t="s">
        <v>15</v>
      </c>
      <c r="F3" s="1" t="n">
        <v>1.16</v>
      </c>
      <c r="G3" s="1" t="n">
        <v>20.4</v>
      </c>
      <c r="H3" s="1" t="n">
        <v>0.3</v>
      </c>
      <c r="I3" s="1" t="n">
        <v>0.3</v>
      </c>
      <c r="J3" s="1" t="n">
        <f aca="false">I3</f>
        <v>0.3</v>
      </c>
      <c r="L3" s="1" t="n">
        <f aca="false">ROUND(F3*$M$117/$L$117*10,2)</f>
        <v>43.84</v>
      </c>
      <c r="M3" s="1" t="n">
        <f aca="false">ROUND(G3*$M$117/$L$117*10,2)</f>
        <v>771.02</v>
      </c>
      <c r="N3" s="1" t="n">
        <f aca="false">ROUND(H3*$M$117/$L$117*10,2)</f>
        <v>11.34</v>
      </c>
      <c r="O3" s="1" t="n">
        <f aca="false">ROUND(I3*$M$117/$L$117*10,2)</f>
        <v>11.34</v>
      </c>
      <c r="Q3" s="1" t="n">
        <v>0.246</v>
      </c>
      <c r="R3" s="1" t="n">
        <v>0.21</v>
      </c>
      <c r="S3" s="1" t="n">
        <v>0.246</v>
      </c>
    </row>
    <row r="4" customFormat="false" ht="12.8" hidden="false" customHeight="false" outlineLevel="0" collapsed="false">
      <c r="A4" s="1" t="n">
        <v>1</v>
      </c>
      <c r="B4" s="1" t="s">
        <v>16</v>
      </c>
      <c r="E4" s="1" t="s">
        <v>15</v>
      </c>
      <c r="F4" s="1" t="n">
        <v>0.85</v>
      </c>
      <c r="G4" s="1" t="n">
        <v>4</v>
      </c>
      <c r="H4" s="1" t="n">
        <v>0.49</v>
      </c>
      <c r="I4" s="1" t="n">
        <v>0.44</v>
      </c>
      <c r="L4" s="1" t="n">
        <f aca="false">ROUND(F4*$M$117/$L$117*10,2)</f>
        <v>32.13</v>
      </c>
      <c r="M4" s="1" t="n">
        <f aca="false">ROUND(G4*$M$117/$L$117*10,2)</f>
        <v>151.18</v>
      </c>
      <c r="N4" s="1" t="n">
        <f aca="false">ROUND(H4*$M$117/$L$117*10,2)</f>
        <v>18.52</v>
      </c>
      <c r="O4" s="1" t="n">
        <f aca="false">ROUND(I4*$M$117/$L$117*10,2)</f>
        <v>16.63</v>
      </c>
    </row>
    <row r="5" customFormat="false" ht="12.8" hidden="false" customHeight="false" outlineLevel="0" collapsed="false">
      <c r="A5" s="1" t="n">
        <v>1</v>
      </c>
      <c r="B5" s="1" t="s">
        <v>17</v>
      </c>
      <c r="E5" s="1" t="s">
        <v>15</v>
      </c>
      <c r="F5" s="1" t="n">
        <v>1.16</v>
      </c>
      <c r="G5" s="1" t="n">
        <v>5.09</v>
      </c>
      <c r="H5" s="1" t="n">
        <v>15.62</v>
      </c>
      <c r="I5" s="1" t="n">
        <v>0.3</v>
      </c>
      <c r="L5" s="1" t="n">
        <f aca="false">ROUND(F5*$M$117/$L$117*10,2)</f>
        <v>43.84</v>
      </c>
      <c r="M5" s="1" t="n">
        <f aca="false">ROUND(G5*$M$117/$L$117*10,2)</f>
        <v>192.38</v>
      </c>
      <c r="N5" s="1" t="n">
        <f aca="false">ROUND(H5*$M$117/$L$117*10,2)</f>
        <v>590.36</v>
      </c>
      <c r="O5" s="1" t="n">
        <f aca="false">ROUND(I5*$M$117/$L$117*10,2)</f>
        <v>11.34</v>
      </c>
    </row>
    <row r="6" customFormat="false" ht="12.8" hidden="false" customHeight="false" outlineLevel="0" collapsed="false">
      <c r="A6" s="1" t="n">
        <v>1</v>
      </c>
      <c r="B6" s="1" t="s">
        <v>18</v>
      </c>
      <c r="E6" s="1" t="s">
        <v>15</v>
      </c>
      <c r="F6" s="1" t="n">
        <v>1.16</v>
      </c>
      <c r="G6" s="1" t="n">
        <v>10.19</v>
      </c>
      <c r="H6" s="1" t="n">
        <v>5.41</v>
      </c>
      <c r="I6" s="1" t="n">
        <v>0.3</v>
      </c>
      <c r="L6" s="1" t="n">
        <f aca="false">ROUND(F6*$M$117/$L$117*10,2)</f>
        <v>43.84</v>
      </c>
      <c r="M6" s="1" t="n">
        <f aca="false">ROUND(G6*$M$117/$L$117*10,2)</f>
        <v>385.13</v>
      </c>
      <c r="N6" s="1" t="n">
        <f aca="false">ROUND(H6*$M$117/$L$117*10,2)</f>
        <v>204.47</v>
      </c>
      <c r="O6" s="1" t="n">
        <f aca="false">ROUND(I6*$M$117/$L$117*10,2)</f>
        <v>11.34</v>
      </c>
    </row>
    <row r="7" customFormat="false" ht="12.8" hidden="false" customHeight="false" outlineLevel="0" collapsed="false">
      <c r="A7" s="1" t="n">
        <v>1</v>
      </c>
      <c r="B7" s="1" t="s">
        <v>19</v>
      </c>
      <c r="C7" s="1" t="s">
        <v>20</v>
      </c>
      <c r="E7" s="1" t="s">
        <v>21</v>
      </c>
      <c r="F7" s="1" t="n">
        <v>0.64</v>
      </c>
      <c r="G7" s="1" t="n">
        <v>5.09</v>
      </c>
      <c r="H7" s="1" t="n">
        <v>15.62</v>
      </c>
      <c r="I7" s="1" t="n">
        <v>0.3</v>
      </c>
      <c r="J7" s="1" t="s">
        <v>22</v>
      </c>
      <c r="K7" s="1"/>
      <c r="L7" s="1" t="n">
        <f aca="false">ROUND(F7*$M$117/$L$117*10,2)</f>
        <v>24.19</v>
      </c>
      <c r="M7" s="1" t="n">
        <f aca="false">ROUND(G7*$M$117/$L$117*10,2)</f>
        <v>192.38</v>
      </c>
      <c r="N7" s="1" t="n">
        <f aca="false">ROUND(H7*$M$117/$L$117*10,2)</f>
        <v>590.36</v>
      </c>
      <c r="O7" s="1" t="n">
        <f aca="false">ROUND(I7*$M$117/$L$117*10,2)</f>
        <v>11.34</v>
      </c>
    </row>
    <row r="8" customFormat="false" ht="12.8" hidden="false" customHeight="false" outlineLevel="0" collapsed="false">
      <c r="A8" s="1" t="n">
        <v>1</v>
      </c>
      <c r="B8" s="1" t="s">
        <v>23</v>
      </c>
      <c r="C8" s="1" t="s">
        <v>24</v>
      </c>
      <c r="E8" s="1" t="s">
        <v>25</v>
      </c>
      <c r="F8" s="1" t="n">
        <v>0.24</v>
      </c>
      <c r="G8" s="1" t="n">
        <v>5.09</v>
      </c>
      <c r="H8" s="1" t="n">
        <v>15.62</v>
      </c>
      <c r="I8" s="1" t="n">
        <v>0.97</v>
      </c>
      <c r="L8" s="1" t="n">
        <f aca="false">ROUND(F8*$M$117/$L$117*10,2)</f>
        <v>9.07</v>
      </c>
      <c r="M8" s="1" t="n">
        <f aca="false">ROUND(G8*$M$117/$L$117*10,2)</f>
        <v>192.38</v>
      </c>
      <c r="N8" s="1" t="n">
        <f aca="false">ROUND(H8*$M$117/$L$117*10,2)</f>
        <v>590.36</v>
      </c>
      <c r="O8" s="1" t="n">
        <f aca="false">ROUND(I8*$M$117/$L$117*10,2)</f>
        <v>36.66</v>
      </c>
    </row>
    <row r="9" customFormat="false" ht="12.8" hidden="false" customHeight="false" outlineLevel="0" collapsed="false">
      <c r="A9" s="1" t="n">
        <v>1</v>
      </c>
      <c r="B9" s="1" t="s">
        <v>26</v>
      </c>
      <c r="C9" s="1" t="s">
        <v>27</v>
      </c>
      <c r="E9" s="1" t="s">
        <v>28</v>
      </c>
      <c r="F9" s="1" t="n">
        <v>0.24</v>
      </c>
      <c r="G9" s="1" t="n">
        <v>5.09</v>
      </c>
      <c r="H9" s="1" t="n">
        <v>15.62</v>
      </c>
      <c r="I9" s="1" t="n">
        <v>1.22</v>
      </c>
      <c r="J9" s="1" t="n">
        <f aca="false">I9+F9</f>
        <v>1.46</v>
      </c>
      <c r="K9" s="1" t="n">
        <f aca="false">J9-J3</f>
        <v>1.16</v>
      </c>
      <c r="L9" s="1" t="n">
        <f aca="false">ROUND(F9*$M$117/$L$117*10,2)</f>
        <v>9.07</v>
      </c>
      <c r="M9" s="1" t="n">
        <f aca="false">ROUND(G9*$M$117/$L$117*10,2)</f>
        <v>192.38</v>
      </c>
      <c r="N9" s="1" t="n">
        <f aca="false">ROUND(H9*$M$117/$L$117*10,2)</f>
        <v>590.36</v>
      </c>
      <c r="O9" s="1" t="n">
        <f aca="false">ROUND(I9*$M$117/$L$117*10,2)</f>
        <v>46.11</v>
      </c>
    </row>
    <row r="10" customFormat="false" ht="12.8" hidden="false" customHeight="false" outlineLevel="0" collapsed="false">
      <c r="A10" s="1" t="n">
        <v>2</v>
      </c>
      <c r="B10" s="1" t="s">
        <v>29</v>
      </c>
      <c r="E10" s="1" t="s">
        <v>15</v>
      </c>
      <c r="F10" s="1" t="n">
        <v>2.84</v>
      </c>
      <c r="G10" s="1" t="n">
        <v>20.4</v>
      </c>
      <c r="H10" s="1" t="n">
        <v>0.3</v>
      </c>
      <c r="I10" s="1" t="n">
        <v>1.48</v>
      </c>
      <c r="J10" s="1" t="n">
        <f aca="false">I10</f>
        <v>1.48</v>
      </c>
      <c r="L10" s="1" t="n">
        <f aca="false">ROUND(F10*$M$117/$L$117*10,2)</f>
        <v>107.34</v>
      </c>
      <c r="M10" s="1" t="n">
        <f aca="false">ROUND(G10*$M$117/$L$117*10,2)</f>
        <v>771.02</v>
      </c>
      <c r="N10" s="1" t="n">
        <f aca="false">ROUND(H10*$M$117/$L$117*10,2)</f>
        <v>11.34</v>
      </c>
      <c r="O10" s="1" t="n">
        <f aca="false">ROUND(I10*$M$117/$L$117*10,2)</f>
        <v>55.94</v>
      </c>
    </row>
    <row r="11" customFormat="false" ht="12.8" hidden="false" customHeight="false" outlineLevel="0" collapsed="false">
      <c r="A11" s="1" t="n">
        <v>2</v>
      </c>
      <c r="B11" s="1" t="s">
        <v>30</v>
      </c>
      <c r="C11" s="1" t="s">
        <v>31</v>
      </c>
      <c r="D11" s="1" t="s">
        <v>32</v>
      </c>
      <c r="E11" s="1" t="s">
        <v>32</v>
      </c>
      <c r="F11" s="1" t="n">
        <v>0.77</v>
      </c>
      <c r="G11" s="1" t="n">
        <v>15.3</v>
      </c>
      <c r="H11" s="1" t="n">
        <v>0.3</v>
      </c>
      <c r="I11" s="1" t="n">
        <v>1.48</v>
      </c>
      <c r="L11" s="1" t="n">
        <f aca="false">ROUND(F11*$M$117/$L$117*10,2)</f>
        <v>29.1</v>
      </c>
      <c r="M11" s="1" t="n">
        <f aca="false">ROUND(G11*$M$117/$L$117*10,2)</f>
        <v>578.27</v>
      </c>
      <c r="N11" s="1" t="n">
        <f aca="false">ROUND(H11*$M$117/$L$117*10,2)</f>
        <v>11.34</v>
      </c>
      <c r="O11" s="1" t="n">
        <f aca="false">ROUND(I11*$M$117/$L$117*10,2)</f>
        <v>55.94</v>
      </c>
    </row>
    <row r="12" customFormat="false" ht="12.8" hidden="false" customHeight="false" outlineLevel="0" collapsed="false">
      <c r="A12" s="1" t="n">
        <v>2</v>
      </c>
      <c r="B12" s="1" t="s">
        <v>33</v>
      </c>
      <c r="C12" s="1" t="s">
        <v>31</v>
      </c>
      <c r="D12" s="1" t="s">
        <v>34</v>
      </c>
      <c r="E12" s="1" t="s">
        <v>34</v>
      </c>
      <c r="F12" s="1" t="n">
        <v>0.67</v>
      </c>
      <c r="G12" s="1" t="n">
        <v>5.09</v>
      </c>
      <c r="H12" s="1" t="n">
        <v>0.3</v>
      </c>
      <c r="I12" s="1" t="n">
        <v>2.27</v>
      </c>
      <c r="L12" s="1" t="n">
        <f aca="false">ROUND(F12*$M$117/$L$117*10,2)</f>
        <v>25.32</v>
      </c>
      <c r="M12" s="1" t="n">
        <f aca="false">ROUND(G12*$M$117/$L$117*10,2)</f>
        <v>192.38</v>
      </c>
      <c r="N12" s="1" t="n">
        <f aca="false">ROUND(H12*$M$117/$L$117*10,2)</f>
        <v>11.34</v>
      </c>
      <c r="O12" s="1" t="n">
        <f aca="false">ROUND(I12*$M$117/$L$117*10,2)</f>
        <v>85.8</v>
      </c>
    </row>
    <row r="13" customFormat="false" ht="12.8" hidden="false" customHeight="false" outlineLevel="0" collapsed="false">
      <c r="A13" s="1" t="n">
        <v>2</v>
      </c>
      <c r="B13" s="1" t="s">
        <v>35</v>
      </c>
      <c r="C13" s="1" t="s">
        <v>36</v>
      </c>
      <c r="D13" s="1" t="s">
        <v>37</v>
      </c>
      <c r="E13" s="1" t="s">
        <v>37</v>
      </c>
      <c r="F13" s="1" t="n">
        <v>0.67</v>
      </c>
      <c r="G13" s="1" t="n">
        <v>5.09</v>
      </c>
      <c r="H13" s="1" t="n">
        <v>5.41</v>
      </c>
      <c r="I13" s="1" t="n">
        <v>2.27</v>
      </c>
      <c r="L13" s="1" t="n">
        <f aca="false">ROUND(F13*$M$117/$L$117*10,2)</f>
        <v>25.32</v>
      </c>
      <c r="M13" s="1" t="n">
        <f aca="false">ROUND(G13*$M$117/$L$117*10,2)</f>
        <v>192.38</v>
      </c>
      <c r="N13" s="1" t="n">
        <f aca="false">ROUND(H13*$M$117/$L$117*10,2)</f>
        <v>204.47</v>
      </c>
      <c r="O13" s="1" t="n">
        <f aca="false">ROUND(I13*$M$117/$L$117*10,2)</f>
        <v>85.8</v>
      </c>
    </row>
    <row r="14" customFormat="false" ht="12.8" hidden="false" customHeight="false" outlineLevel="0" collapsed="false">
      <c r="A14" s="1" t="n">
        <v>2</v>
      </c>
      <c r="B14" s="1" t="s">
        <v>38</v>
      </c>
      <c r="C14" s="1" t="s">
        <v>24</v>
      </c>
      <c r="D14" s="1" t="s">
        <v>39</v>
      </c>
      <c r="E14" s="1" t="s">
        <v>39</v>
      </c>
      <c r="F14" s="1" t="n">
        <v>0.67</v>
      </c>
      <c r="G14" s="1" t="n">
        <v>5.09</v>
      </c>
      <c r="H14" s="1" t="n">
        <v>10.51</v>
      </c>
      <c r="I14" s="1" t="n">
        <v>2.27</v>
      </c>
      <c r="L14" s="1" t="n">
        <f aca="false">ROUND(F14*$M$117/$L$117*10,2)</f>
        <v>25.32</v>
      </c>
      <c r="M14" s="1" t="n">
        <f aca="false">ROUND(G14*$M$117/$L$117*10,2)</f>
        <v>192.38</v>
      </c>
      <c r="N14" s="1" t="n">
        <f aca="false">ROUND(H14*$M$117/$L$117*10,2)</f>
        <v>397.23</v>
      </c>
      <c r="O14" s="1" t="n">
        <f aca="false">ROUND(I14*$M$117/$L$117*10,2)</f>
        <v>85.8</v>
      </c>
    </row>
    <row r="15" customFormat="false" ht="12.8" hidden="false" customHeight="false" outlineLevel="0" collapsed="false">
      <c r="A15" s="1" t="n">
        <v>2</v>
      </c>
      <c r="B15" s="1" t="s">
        <v>40</v>
      </c>
      <c r="C15" s="1" t="s">
        <v>27</v>
      </c>
      <c r="D15" s="1" t="s">
        <v>41</v>
      </c>
      <c r="E15" s="1" t="s">
        <v>41</v>
      </c>
      <c r="F15" s="1" t="n">
        <v>0.67</v>
      </c>
      <c r="G15" s="1" t="n">
        <v>5.09</v>
      </c>
      <c r="H15" s="1" t="n">
        <v>0.3</v>
      </c>
      <c r="I15" s="1" t="n">
        <v>2.96</v>
      </c>
      <c r="L15" s="1" t="n">
        <f aca="false">ROUND(F15*$M$117/$L$117*10,2)</f>
        <v>25.32</v>
      </c>
      <c r="M15" s="1" t="n">
        <f aca="false">ROUND(G15*$M$117/$L$117*10,2)</f>
        <v>192.38</v>
      </c>
      <c r="N15" s="1" t="n">
        <f aca="false">ROUND(H15*$M$117/$L$117*10,2)</f>
        <v>11.34</v>
      </c>
      <c r="O15" s="1" t="n">
        <f aca="false">ROUND(I15*$M$117/$L$117*10,2)</f>
        <v>111.87</v>
      </c>
    </row>
    <row r="16" customFormat="false" ht="12.8" hidden="false" customHeight="false" outlineLevel="0" collapsed="false">
      <c r="A16" s="1" t="n">
        <v>2</v>
      </c>
      <c r="B16" s="1" t="s">
        <v>42</v>
      </c>
      <c r="C16" s="1" t="s">
        <v>27</v>
      </c>
      <c r="D16" s="1" t="s">
        <v>43</v>
      </c>
      <c r="E16" s="1" t="s">
        <v>43</v>
      </c>
      <c r="F16" s="1" t="n">
        <v>0.67</v>
      </c>
      <c r="G16" s="1" t="n">
        <v>5.09</v>
      </c>
      <c r="H16" s="1" t="n">
        <v>5.41</v>
      </c>
      <c r="I16" s="1" t="n">
        <v>2.96</v>
      </c>
      <c r="L16" s="1" t="n">
        <f aca="false">ROUND(F16*$M$117/$L$117*10,2)</f>
        <v>25.32</v>
      </c>
      <c r="M16" s="1" t="n">
        <f aca="false">ROUND(G16*$M$117/$L$117*10,2)</f>
        <v>192.38</v>
      </c>
      <c r="N16" s="1" t="n">
        <f aca="false">ROUND(H16*$M$117/$L$117*10,2)</f>
        <v>204.47</v>
      </c>
      <c r="O16" s="1" t="n">
        <f aca="false">ROUND(I16*$M$117/$L$117*10,2)</f>
        <v>111.87</v>
      </c>
    </row>
    <row r="17" customFormat="false" ht="12.8" hidden="false" customHeight="false" outlineLevel="0" collapsed="false">
      <c r="A17" s="1" t="n">
        <v>2</v>
      </c>
      <c r="B17" s="1" t="s">
        <v>44</v>
      </c>
      <c r="C17" s="1" t="s">
        <v>27</v>
      </c>
      <c r="D17" s="1" t="s">
        <v>45</v>
      </c>
      <c r="E17" s="1" t="s">
        <v>45</v>
      </c>
      <c r="F17" s="1" t="n">
        <v>0.67</v>
      </c>
      <c r="G17" s="1" t="n">
        <v>5.09</v>
      </c>
      <c r="H17" s="1" t="n">
        <v>10.51</v>
      </c>
      <c r="I17" s="1" t="n">
        <v>2.96</v>
      </c>
      <c r="L17" s="1" t="n">
        <f aca="false">ROUND(F17*$M$117/$L$117*10,2)</f>
        <v>25.32</v>
      </c>
      <c r="M17" s="1" t="n">
        <f aca="false">ROUND(G17*$M$117/$L$117*10,2)</f>
        <v>192.38</v>
      </c>
      <c r="N17" s="1" t="n">
        <f aca="false">ROUND(H17*$M$117/$L$117*10,2)</f>
        <v>397.23</v>
      </c>
      <c r="O17" s="1" t="n">
        <f aca="false">ROUND(I17*$M$117/$L$117*10,2)</f>
        <v>111.87</v>
      </c>
    </row>
    <row r="18" customFormat="false" ht="12.8" hidden="false" customHeight="false" outlineLevel="0" collapsed="false">
      <c r="A18" s="1" t="n">
        <v>2</v>
      </c>
      <c r="B18" s="1" t="s">
        <v>46</v>
      </c>
      <c r="C18" s="1" t="s">
        <v>27</v>
      </c>
      <c r="D18" s="1" t="s">
        <v>47</v>
      </c>
      <c r="E18" s="1" t="s">
        <v>47</v>
      </c>
      <c r="F18" s="1" t="n">
        <v>0.67</v>
      </c>
      <c r="G18" s="1" t="n">
        <v>5.09</v>
      </c>
      <c r="H18" s="1" t="n">
        <v>0.3</v>
      </c>
      <c r="I18" s="1" t="n">
        <v>3.65</v>
      </c>
      <c r="L18" s="1" t="n">
        <f aca="false">ROUND(F18*$M$117/$L$117*10,2)</f>
        <v>25.32</v>
      </c>
      <c r="M18" s="1" t="n">
        <f aca="false">ROUND(G18*$M$117/$L$117*10,2)</f>
        <v>192.38</v>
      </c>
      <c r="N18" s="1" t="n">
        <f aca="false">ROUND(H18*$M$117/$L$117*10,2)</f>
        <v>11.34</v>
      </c>
      <c r="O18" s="1" t="n">
        <f aca="false">ROUND(I18*$M$117/$L$117*10,2)</f>
        <v>137.95</v>
      </c>
    </row>
    <row r="19" customFormat="false" ht="12.8" hidden="false" customHeight="false" outlineLevel="0" collapsed="false">
      <c r="A19" s="1" t="n">
        <v>2</v>
      </c>
      <c r="B19" s="1" t="s">
        <v>48</v>
      </c>
      <c r="C19" s="1" t="s">
        <v>31</v>
      </c>
      <c r="D19" s="1" t="s">
        <v>49</v>
      </c>
      <c r="E19" s="1" t="s">
        <v>49</v>
      </c>
      <c r="F19" s="1" t="n">
        <v>0.67</v>
      </c>
      <c r="G19" s="1" t="n">
        <v>5.09</v>
      </c>
      <c r="H19" s="1" t="n">
        <v>5.41</v>
      </c>
      <c r="I19" s="1" t="n">
        <v>3.65</v>
      </c>
      <c r="L19" s="1" t="n">
        <f aca="false">ROUND(F19*$M$117/$L$117*10,2)</f>
        <v>25.32</v>
      </c>
      <c r="M19" s="1" t="n">
        <f aca="false">ROUND(G19*$M$117/$L$117*10,2)</f>
        <v>192.38</v>
      </c>
      <c r="N19" s="1" t="n">
        <f aca="false">ROUND(H19*$M$117/$L$117*10,2)</f>
        <v>204.47</v>
      </c>
      <c r="O19" s="1" t="n">
        <f aca="false">ROUND(I19*$M$117/$L$117*10,2)</f>
        <v>137.95</v>
      </c>
    </row>
    <row r="20" customFormat="false" ht="12.8" hidden="false" customHeight="false" outlineLevel="0" collapsed="false">
      <c r="A20" s="1" t="n">
        <v>2</v>
      </c>
      <c r="B20" s="1" t="s">
        <v>50</v>
      </c>
      <c r="C20" s="1" t="s">
        <v>51</v>
      </c>
      <c r="D20" s="1" t="s">
        <v>52</v>
      </c>
      <c r="E20" s="1" t="s">
        <v>52</v>
      </c>
      <c r="F20" s="1" t="n">
        <v>0.67</v>
      </c>
      <c r="G20" s="1" t="n">
        <v>5.09</v>
      </c>
      <c r="H20" s="1" t="n">
        <v>10.51</v>
      </c>
      <c r="I20" s="1" t="n">
        <v>3.65</v>
      </c>
      <c r="L20" s="1" t="n">
        <f aca="false">ROUND(F20*$M$117/$L$117*10,2)</f>
        <v>25.32</v>
      </c>
      <c r="M20" s="1" t="n">
        <f aca="false">ROUND(G20*$M$117/$L$117*10,2)</f>
        <v>192.38</v>
      </c>
      <c r="N20" s="1" t="n">
        <f aca="false">ROUND(H20*$M$117/$L$117*10,2)</f>
        <v>397.23</v>
      </c>
      <c r="O20" s="1" t="n">
        <f aca="false">ROUND(I20*$M$117/$L$117*10,2)</f>
        <v>137.95</v>
      </c>
    </row>
    <row r="21" customFormat="false" ht="12.8" hidden="false" customHeight="false" outlineLevel="0" collapsed="false">
      <c r="A21" s="1" t="n">
        <v>2</v>
      </c>
      <c r="B21" s="1" t="s">
        <v>53</v>
      </c>
      <c r="E21" s="1" t="s">
        <v>15</v>
      </c>
      <c r="F21" s="1" t="n">
        <v>1.52</v>
      </c>
      <c r="G21" s="1" t="n">
        <v>1.52</v>
      </c>
      <c r="H21" s="1" t="n">
        <v>17.48</v>
      </c>
      <c r="I21" s="1" t="n">
        <v>1.67</v>
      </c>
      <c r="L21" s="1" t="n">
        <f aca="false">ROUND(F21*$M$117/$L$117*10,2)</f>
        <v>57.45</v>
      </c>
      <c r="M21" s="1" t="n">
        <f aca="false">ROUND(G21*$M$117/$L$117*10,2)</f>
        <v>57.45</v>
      </c>
      <c r="N21" s="1" t="n">
        <f aca="false">ROUND(H21*$M$117/$L$117*10,2)</f>
        <v>660.66</v>
      </c>
      <c r="O21" s="1" t="n">
        <f aca="false">ROUND(I21*$M$117/$L$117*10,2)</f>
        <v>63.12</v>
      </c>
    </row>
    <row r="22" customFormat="false" ht="12.8" hidden="false" customHeight="false" outlineLevel="0" collapsed="false">
      <c r="A22" s="1" t="n">
        <v>2</v>
      </c>
      <c r="B22" s="1" t="s">
        <v>54</v>
      </c>
      <c r="E22" s="1" t="s">
        <v>15</v>
      </c>
      <c r="F22" s="1" t="n">
        <v>0.68</v>
      </c>
      <c r="G22" s="1" t="n">
        <v>4.72</v>
      </c>
      <c r="H22" s="1" t="n">
        <v>15.8</v>
      </c>
      <c r="I22" s="1" t="n">
        <v>3.36</v>
      </c>
      <c r="J22" s="1" t="n">
        <f aca="false">I20+F20</f>
        <v>4.32</v>
      </c>
      <c r="K22" s="1" t="n">
        <f aca="false">J22-J10</f>
        <v>2.84</v>
      </c>
      <c r="L22" s="1" t="n">
        <f aca="false">ROUND(F22*$M$117/$L$117*10,2)</f>
        <v>25.7</v>
      </c>
      <c r="M22" s="1" t="n">
        <f aca="false">ROUND(G22*$M$117/$L$117*10,2)</f>
        <v>178.39</v>
      </c>
      <c r="N22" s="1" t="n">
        <f aca="false">ROUND(H22*$M$117/$L$117*10,2)</f>
        <v>597.17</v>
      </c>
      <c r="O22" s="1" t="n">
        <f aca="false">ROUND(I22*$M$117/$L$117*10,2)</f>
        <v>126.99</v>
      </c>
    </row>
    <row r="23" customFormat="false" ht="12.8" hidden="false" customHeight="false" outlineLevel="0" collapsed="false">
      <c r="A23" s="1" t="n">
        <v>3</v>
      </c>
      <c r="B23" s="1" t="s">
        <v>55</v>
      </c>
      <c r="E23" s="1" t="s">
        <v>56</v>
      </c>
      <c r="F23" s="1" t="n">
        <v>0.63</v>
      </c>
      <c r="G23" s="1" t="n">
        <v>5.09</v>
      </c>
      <c r="H23" s="1" t="n">
        <v>0.3</v>
      </c>
      <c r="I23" s="1" t="n">
        <v>4.34</v>
      </c>
      <c r="J23" s="1" t="n">
        <f aca="false">I23</f>
        <v>4.34</v>
      </c>
      <c r="L23" s="1" t="n">
        <f aca="false">ROUND(F23*$M$117/$L$117*10,2)</f>
        <v>23.81</v>
      </c>
      <c r="M23" s="1" t="n">
        <f aca="false">ROUND(G23*$M$117/$L$117*10,2)</f>
        <v>192.38</v>
      </c>
      <c r="N23" s="1" t="n">
        <f aca="false">ROUND(H23*$M$117/$L$117*10,2)</f>
        <v>11.34</v>
      </c>
      <c r="O23" s="1" t="n">
        <f aca="false">ROUND(I23*$M$117/$L$117*10,2)</f>
        <v>164.03</v>
      </c>
    </row>
    <row r="24" customFormat="false" ht="12.8" hidden="false" customHeight="false" outlineLevel="0" collapsed="false">
      <c r="A24" s="1" t="n">
        <v>3</v>
      </c>
      <c r="B24" s="1" t="s">
        <v>57</v>
      </c>
      <c r="C24" s="1" t="s">
        <v>58</v>
      </c>
      <c r="D24" s="1" t="s">
        <v>59</v>
      </c>
      <c r="E24" s="1" t="s">
        <v>60</v>
      </c>
      <c r="F24" s="1" t="n">
        <v>0.63</v>
      </c>
      <c r="G24" s="1" t="n">
        <v>5.09</v>
      </c>
      <c r="H24" s="1" t="n">
        <v>5.41</v>
      </c>
      <c r="I24" s="1" t="n">
        <v>4.34</v>
      </c>
      <c r="L24" s="1" t="n">
        <f aca="false">ROUND(F24*$M$117/$L$117*10,2)</f>
        <v>23.81</v>
      </c>
      <c r="M24" s="1" t="n">
        <f aca="false">ROUND(G24*$M$117/$L$117*10,2)</f>
        <v>192.38</v>
      </c>
      <c r="N24" s="1" t="n">
        <f aca="false">ROUND(H24*$M$117/$L$117*10,2)</f>
        <v>204.47</v>
      </c>
      <c r="O24" s="1" t="n">
        <f aca="false">ROUND(I24*$M$117/$L$117*10,2)</f>
        <v>164.03</v>
      </c>
    </row>
    <row r="25" customFormat="false" ht="12.8" hidden="false" customHeight="false" outlineLevel="0" collapsed="false">
      <c r="A25" s="1" t="n">
        <v>3</v>
      </c>
      <c r="B25" s="1" t="s">
        <v>61</v>
      </c>
      <c r="C25" s="1" t="s">
        <v>62</v>
      </c>
      <c r="D25" s="1" t="s">
        <v>63</v>
      </c>
      <c r="E25" s="1" t="s">
        <v>64</v>
      </c>
      <c r="F25" s="1" t="n">
        <v>0.63</v>
      </c>
      <c r="G25" s="1" t="n">
        <v>5.09</v>
      </c>
      <c r="H25" s="1" t="n">
        <v>10.51</v>
      </c>
      <c r="I25" s="1" t="n">
        <v>4.34</v>
      </c>
      <c r="L25" s="1" t="n">
        <f aca="false">ROUND(F25*$M$117/$L$117*10,2)</f>
        <v>23.81</v>
      </c>
      <c r="M25" s="1" t="n">
        <f aca="false">ROUND(G25*$M$117/$L$117*10,2)</f>
        <v>192.38</v>
      </c>
      <c r="N25" s="1" t="n">
        <f aca="false">ROUND(H25*$M$117/$L$117*10,2)</f>
        <v>397.23</v>
      </c>
      <c r="O25" s="1" t="n">
        <f aca="false">ROUND(I25*$M$117/$L$117*10,2)</f>
        <v>164.03</v>
      </c>
    </row>
    <row r="26" customFormat="false" ht="12.8" hidden="false" customHeight="false" outlineLevel="0" collapsed="false">
      <c r="A26" s="1" t="n">
        <v>3</v>
      </c>
      <c r="B26" s="1" t="s">
        <v>65</v>
      </c>
      <c r="C26" s="1" t="s">
        <v>62</v>
      </c>
      <c r="D26" s="1" t="s">
        <v>66</v>
      </c>
      <c r="E26" s="1" t="s">
        <v>67</v>
      </c>
      <c r="F26" s="1" t="n">
        <v>0.63</v>
      </c>
      <c r="G26" s="1" t="n">
        <v>5.09</v>
      </c>
      <c r="H26" s="1" t="n">
        <v>15.62</v>
      </c>
      <c r="I26" s="1" t="n">
        <v>4.34</v>
      </c>
      <c r="L26" s="1" t="n">
        <f aca="false">ROUND(F26*$M$117/$L$117*10,2)</f>
        <v>23.81</v>
      </c>
      <c r="M26" s="1" t="n">
        <f aca="false">ROUND(G26*$M$117/$L$117*10,2)</f>
        <v>192.38</v>
      </c>
      <c r="N26" s="1" t="n">
        <f aca="false">ROUND(H26*$M$117/$L$117*10,2)</f>
        <v>590.36</v>
      </c>
      <c r="O26" s="1" t="n">
        <f aca="false">ROUND(I26*$M$117/$L$117*10,2)</f>
        <v>164.03</v>
      </c>
    </row>
    <row r="27" customFormat="false" ht="12.8" hidden="false" customHeight="false" outlineLevel="0" collapsed="false">
      <c r="A27" s="1" t="n">
        <v>3</v>
      </c>
      <c r="B27" s="1" t="s">
        <v>68</v>
      </c>
      <c r="C27" s="1" t="s">
        <v>62</v>
      </c>
      <c r="D27" s="1" t="s">
        <v>69</v>
      </c>
      <c r="E27" s="1" t="s">
        <v>70</v>
      </c>
      <c r="F27" s="1" t="n">
        <v>0.63</v>
      </c>
      <c r="G27" s="1" t="n">
        <v>10.19</v>
      </c>
      <c r="H27" s="1" t="n">
        <v>0.3</v>
      </c>
      <c r="I27" s="1" t="n">
        <v>4.98</v>
      </c>
      <c r="L27" s="1" t="n">
        <f aca="false">ROUND(F27*$M$117/$L$117*10,2)</f>
        <v>23.81</v>
      </c>
      <c r="M27" s="1" t="n">
        <f aca="false">ROUND(G27*$M$117/$L$117*10,2)</f>
        <v>385.13</v>
      </c>
      <c r="N27" s="1" t="n">
        <f aca="false">ROUND(H27*$M$117/$L$117*10,2)</f>
        <v>11.34</v>
      </c>
      <c r="O27" s="1" t="n">
        <f aca="false">ROUND(I27*$M$117/$L$117*10,2)</f>
        <v>188.22</v>
      </c>
    </row>
    <row r="28" customFormat="false" ht="12.8" hidden="false" customHeight="false" outlineLevel="0" collapsed="false">
      <c r="A28" s="1" t="n">
        <v>3</v>
      </c>
      <c r="B28" s="1" t="s">
        <v>71</v>
      </c>
      <c r="C28" s="1" t="s">
        <v>72</v>
      </c>
      <c r="D28" s="1" t="s">
        <v>73</v>
      </c>
      <c r="E28" s="1" t="s">
        <v>74</v>
      </c>
      <c r="F28" s="1" t="n">
        <v>0.63</v>
      </c>
      <c r="G28" s="1" t="n">
        <v>5.09</v>
      </c>
      <c r="H28" s="1" t="n">
        <v>10.51</v>
      </c>
      <c r="I28" s="1" t="n">
        <v>4.98</v>
      </c>
      <c r="L28" s="1" t="n">
        <f aca="false">ROUND(F28*$M$117/$L$117*10,2)</f>
        <v>23.81</v>
      </c>
      <c r="M28" s="1" t="n">
        <f aca="false">ROUND(G28*$M$117/$L$117*10,2)</f>
        <v>192.38</v>
      </c>
      <c r="N28" s="1" t="n">
        <f aca="false">ROUND(H28*$M$117/$L$117*10,2)</f>
        <v>397.23</v>
      </c>
      <c r="O28" s="1" t="n">
        <f aca="false">ROUND(I28*$M$117/$L$117*10,2)</f>
        <v>188.22</v>
      </c>
    </row>
    <row r="29" customFormat="false" ht="12.8" hidden="false" customHeight="false" outlineLevel="0" collapsed="false">
      <c r="A29" s="1" t="n">
        <v>3</v>
      </c>
      <c r="B29" s="1" t="s">
        <v>75</v>
      </c>
      <c r="C29" s="1" t="s">
        <v>72</v>
      </c>
      <c r="D29" s="1" t="s">
        <v>76</v>
      </c>
      <c r="E29" s="1" t="s">
        <v>77</v>
      </c>
      <c r="F29" s="1" t="n">
        <v>0.63</v>
      </c>
      <c r="G29" s="1" t="n">
        <v>5.09</v>
      </c>
      <c r="H29" s="1" t="n">
        <v>15.62</v>
      </c>
      <c r="I29" s="1" t="n">
        <v>4.98</v>
      </c>
      <c r="L29" s="1" t="n">
        <f aca="false">ROUND(F29*$M$117/$L$117*10,2)</f>
        <v>23.81</v>
      </c>
      <c r="M29" s="1" t="n">
        <f aca="false">ROUND(G29*$M$117/$L$117*10,2)</f>
        <v>192.38</v>
      </c>
      <c r="N29" s="1" t="n">
        <f aca="false">ROUND(H29*$M$117/$L$117*10,2)</f>
        <v>590.36</v>
      </c>
      <c r="O29" s="1" t="n">
        <f aca="false">ROUND(I29*$M$117/$L$117*10,2)</f>
        <v>188.22</v>
      </c>
    </row>
    <row r="30" customFormat="false" ht="12.8" hidden="false" customHeight="false" outlineLevel="0" collapsed="false">
      <c r="A30" s="1" t="n">
        <v>3</v>
      </c>
      <c r="B30" s="1" t="s">
        <v>78</v>
      </c>
      <c r="C30" s="1" t="s">
        <v>79</v>
      </c>
      <c r="D30" s="1" t="s">
        <v>80</v>
      </c>
      <c r="E30" s="1" t="s">
        <v>81</v>
      </c>
      <c r="F30" s="1" t="n">
        <v>0.63</v>
      </c>
      <c r="G30" s="1" t="n">
        <v>10.19</v>
      </c>
      <c r="H30" s="1" t="n">
        <v>0.3</v>
      </c>
      <c r="I30" s="1" t="n">
        <v>5.62</v>
      </c>
      <c r="L30" s="1" t="n">
        <f aca="false">ROUND(F30*$M$117/$L$117*10,2)</f>
        <v>23.81</v>
      </c>
      <c r="M30" s="1" t="n">
        <f aca="false">ROUND(G30*$M$117/$L$117*10,2)</f>
        <v>385.13</v>
      </c>
      <c r="N30" s="1" t="n">
        <f aca="false">ROUND(H30*$M$117/$L$117*10,2)</f>
        <v>11.34</v>
      </c>
      <c r="O30" s="1" t="n">
        <f aca="false">ROUND(I30*$M$117/$L$117*10,2)</f>
        <v>212.41</v>
      </c>
    </row>
    <row r="31" customFormat="false" ht="12.8" hidden="false" customHeight="false" outlineLevel="0" collapsed="false">
      <c r="A31" s="1" t="n">
        <v>3</v>
      </c>
      <c r="B31" s="1" t="s">
        <v>82</v>
      </c>
      <c r="C31" s="1" t="s">
        <v>62</v>
      </c>
      <c r="D31" s="1" t="s">
        <v>83</v>
      </c>
      <c r="E31" s="1" t="s">
        <v>84</v>
      </c>
      <c r="F31" s="1" t="n">
        <v>0.63</v>
      </c>
      <c r="G31" s="1" t="n">
        <v>10.19</v>
      </c>
      <c r="H31" s="1" t="n">
        <v>10.51</v>
      </c>
      <c r="I31" s="1" t="n">
        <v>5.62</v>
      </c>
      <c r="L31" s="1" t="n">
        <f aca="false">ROUND(F31*$M$117/$L$117*10,2)</f>
        <v>23.81</v>
      </c>
      <c r="M31" s="1" t="n">
        <f aca="false">ROUND(G31*$M$117/$L$117*10,2)</f>
        <v>385.13</v>
      </c>
      <c r="N31" s="1" t="n">
        <f aca="false">ROUND(H31*$M$117/$L$117*10,2)</f>
        <v>397.23</v>
      </c>
      <c r="O31" s="1" t="n">
        <f aca="false">ROUND(I31*$M$117/$L$117*10,2)</f>
        <v>212.41</v>
      </c>
    </row>
    <row r="32" customFormat="false" ht="12.8" hidden="false" customHeight="false" outlineLevel="0" collapsed="false">
      <c r="A32" s="1" t="n">
        <v>3</v>
      </c>
      <c r="B32" s="1" t="s">
        <v>85</v>
      </c>
      <c r="C32" s="1" t="s">
        <v>86</v>
      </c>
      <c r="D32" s="2" t="s">
        <v>87</v>
      </c>
      <c r="E32" s="2" t="s">
        <v>88</v>
      </c>
      <c r="F32" s="1" t="n">
        <v>0.63</v>
      </c>
      <c r="G32" s="1" t="n">
        <v>5.09</v>
      </c>
      <c r="H32" s="1" t="n">
        <v>0.3</v>
      </c>
      <c r="I32" s="1" t="n">
        <v>6.28</v>
      </c>
      <c r="L32" s="1" t="n">
        <f aca="false">ROUND(F32*$M$117/$L$117*10,2)</f>
        <v>23.81</v>
      </c>
      <c r="M32" s="1" t="n">
        <f aca="false">ROUND(G32*$M$117/$L$117*10,2)</f>
        <v>192.38</v>
      </c>
      <c r="N32" s="1" t="n">
        <f aca="false">ROUND(H32*$M$117/$L$117*10,2)</f>
        <v>11.34</v>
      </c>
      <c r="O32" s="1" t="n">
        <f aca="false">ROUND(I32*$M$117/$L$117*10,2)</f>
        <v>237.35</v>
      </c>
    </row>
    <row r="33" customFormat="false" ht="12.8" hidden="false" customHeight="false" outlineLevel="0" collapsed="false">
      <c r="A33" s="1" t="n">
        <v>3</v>
      </c>
      <c r="B33" s="1" t="s">
        <v>89</v>
      </c>
      <c r="C33" s="1" t="s">
        <v>86</v>
      </c>
      <c r="D33" s="1" t="s">
        <v>90</v>
      </c>
      <c r="E33" s="1" t="s">
        <v>91</v>
      </c>
      <c r="F33" s="1" t="n">
        <v>0.63</v>
      </c>
      <c r="G33" s="1" t="n">
        <v>10.19</v>
      </c>
      <c r="H33" s="1" t="n">
        <v>10.51</v>
      </c>
      <c r="I33" s="1" t="n">
        <v>6.28</v>
      </c>
      <c r="J33" s="1" t="n">
        <f aca="false">I33+F33</f>
        <v>6.91</v>
      </c>
      <c r="K33" s="1" t="n">
        <f aca="false">J33-J23</f>
        <v>2.57</v>
      </c>
      <c r="L33" s="1" t="n">
        <f aca="false">ROUND(F33*$M$117/$L$117*10,2)</f>
        <v>23.81</v>
      </c>
      <c r="M33" s="1" t="n">
        <f aca="false">ROUND(G33*$M$117/$L$117*10,2)</f>
        <v>385.13</v>
      </c>
      <c r="N33" s="1" t="n">
        <f aca="false">ROUND(H33*$M$117/$L$117*10,2)</f>
        <v>397.23</v>
      </c>
      <c r="O33" s="1" t="n">
        <f aca="false">ROUND(I33*$M$117/$L$117*10,2)</f>
        <v>237.35</v>
      </c>
    </row>
    <row r="34" customFormat="false" ht="12.8" hidden="false" customHeight="false" outlineLevel="0" collapsed="false">
      <c r="A34" s="1" t="n">
        <v>4</v>
      </c>
      <c r="B34" s="1" t="s">
        <v>92</v>
      </c>
      <c r="E34" s="1" t="s">
        <v>93</v>
      </c>
      <c r="F34" s="1" t="n">
        <v>0.63</v>
      </c>
      <c r="G34" s="1" t="n">
        <v>5.09</v>
      </c>
      <c r="H34" s="1" t="n">
        <v>0.3</v>
      </c>
      <c r="I34" s="1" t="n">
        <v>6.92</v>
      </c>
      <c r="J34" s="1" t="n">
        <f aca="false">I34</f>
        <v>6.92</v>
      </c>
      <c r="L34" s="1" t="n">
        <f aca="false">ROUND(F34*$M$117/$L$117*10,2)</f>
        <v>23.81</v>
      </c>
      <c r="M34" s="1" t="n">
        <f aca="false">ROUND(G34*$M$117/$L$117*10,2)</f>
        <v>192.38</v>
      </c>
      <c r="N34" s="1" t="n">
        <f aca="false">ROUND(H34*$M$117/$L$117*10,2)</f>
        <v>11.34</v>
      </c>
      <c r="O34" s="1" t="n">
        <f aca="false">ROUND(I34*$M$117/$L$117*10,2)</f>
        <v>261.54</v>
      </c>
    </row>
    <row r="35" customFormat="false" ht="12.8" hidden="false" customHeight="false" outlineLevel="0" collapsed="false">
      <c r="A35" s="1" t="n">
        <v>4</v>
      </c>
      <c r="B35" s="1" t="s">
        <v>94</v>
      </c>
      <c r="C35" s="1" t="s">
        <v>95</v>
      </c>
      <c r="D35" s="1" t="s">
        <v>96</v>
      </c>
      <c r="E35" s="1" t="s">
        <v>94</v>
      </c>
      <c r="F35" s="1" t="n">
        <v>0.63</v>
      </c>
      <c r="G35" s="1" t="n">
        <v>5.09</v>
      </c>
      <c r="H35" s="1" t="n">
        <v>5.41</v>
      </c>
      <c r="I35" s="1" t="n">
        <v>6.92</v>
      </c>
      <c r="L35" s="1" t="n">
        <f aca="false">ROUND(F35*$M$117/$L$117*10,2)</f>
        <v>23.81</v>
      </c>
      <c r="M35" s="1" t="n">
        <f aca="false">ROUND(G35*$M$117/$L$117*10,2)</f>
        <v>192.38</v>
      </c>
      <c r="N35" s="1" t="n">
        <f aca="false">ROUND(H35*$M$117/$L$117*10,2)</f>
        <v>204.47</v>
      </c>
      <c r="O35" s="1" t="n">
        <f aca="false">ROUND(I35*$M$117/$L$117*10,2)</f>
        <v>261.54</v>
      </c>
    </row>
    <row r="36" customFormat="false" ht="12.8" hidden="false" customHeight="false" outlineLevel="0" collapsed="false">
      <c r="A36" s="1" t="n">
        <v>4</v>
      </c>
      <c r="B36" s="1" t="s">
        <v>61</v>
      </c>
      <c r="C36" s="1" t="s">
        <v>97</v>
      </c>
      <c r="D36" s="1" t="s">
        <v>98</v>
      </c>
      <c r="E36" s="1" t="s">
        <v>64</v>
      </c>
      <c r="F36" s="1" t="n">
        <v>0.63</v>
      </c>
      <c r="G36" s="1" t="n">
        <v>5.09</v>
      </c>
      <c r="H36" s="1" t="n">
        <v>10.51</v>
      </c>
      <c r="I36" s="1" t="n">
        <v>6.92</v>
      </c>
      <c r="L36" s="1" t="n">
        <f aca="false">ROUND(F36*$M$117/$L$117*10,2)</f>
        <v>23.81</v>
      </c>
      <c r="M36" s="1" t="n">
        <f aca="false">ROUND(G36*$M$117/$L$117*10,2)</f>
        <v>192.38</v>
      </c>
      <c r="N36" s="1" t="n">
        <f aca="false">ROUND(H36*$M$117/$L$117*10,2)</f>
        <v>397.23</v>
      </c>
      <c r="O36" s="1" t="n">
        <f aca="false">ROUND(I36*$M$117/$L$117*10,2)</f>
        <v>261.54</v>
      </c>
    </row>
    <row r="37" customFormat="false" ht="12.8" hidden="false" customHeight="false" outlineLevel="0" collapsed="false">
      <c r="A37" s="1" t="n">
        <v>4</v>
      </c>
      <c r="B37" s="1" t="s">
        <v>65</v>
      </c>
      <c r="C37" s="1" t="s">
        <v>95</v>
      </c>
      <c r="D37" s="1" t="s">
        <v>99</v>
      </c>
      <c r="E37" s="1" t="s">
        <v>67</v>
      </c>
      <c r="F37" s="1" t="n">
        <v>0.63</v>
      </c>
      <c r="G37" s="1" t="n">
        <v>5.09</v>
      </c>
      <c r="H37" s="1" t="n">
        <v>15.62</v>
      </c>
      <c r="I37" s="1" t="n">
        <v>6.92</v>
      </c>
      <c r="L37" s="1" t="n">
        <f aca="false">ROUND(F37*$M$117/$L$117*10,2)</f>
        <v>23.81</v>
      </c>
      <c r="M37" s="1" t="n">
        <f aca="false">ROUND(G37*$M$117/$L$117*10,2)</f>
        <v>192.38</v>
      </c>
      <c r="N37" s="1" t="n">
        <f aca="false">ROUND(H37*$M$117/$L$117*10,2)</f>
        <v>590.36</v>
      </c>
      <c r="O37" s="1" t="n">
        <f aca="false">ROUND(I37*$M$117/$L$117*10,2)</f>
        <v>261.54</v>
      </c>
    </row>
    <row r="38" customFormat="false" ht="12.8" hidden="false" customHeight="false" outlineLevel="0" collapsed="false">
      <c r="A38" s="1" t="n">
        <v>4</v>
      </c>
      <c r="B38" s="1" t="s">
        <v>68</v>
      </c>
      <c r="C38" s="1" t="s">
        <v>100</v>
      </c>
      <c r="D38" s="1" t="s">
        <v>101</v>
      </c>
      <c r="E38" s="1" t="s">
        <v>70</v>
      </c>
      <c r="F38" s="1" t="n">
        <v>0.63</v>
      </c>
      <c r="G38" s="1" t="n">
        <v>10.19</v>
      </c>
      <c r="H38" s="1" t="n">
        <v>0.3</v>
      </c>
      <c r="I38" s="1" t="n">
        <v>7.56</v>
      </c>
      <c r="L38" s="1" t="n">
        <f aca="false">ROUND(F38*$M$117/$L$117*10,2)</f>
        <v>23.81</v>
      </c>
      <c r="M38" s="1" t="n">
        <f aca="false">ROUND(G38*$M$117/$L$117*10,2)</f>
        <v>385.13</v>
      </c>
      <c r="N38" s="1" t="n">
        <f aca="false">ROUND(H38*$M$117/$L$117*10,2)</f>
        <v>11.34</v>
      </c>
      <c r="O38" s="1" t="n">
        <f aca="false">ROUND(I38*$M$117/$L$117*10,2)</f>
        <v>285.73</v>
      </c>
    </row>
    <row r="39" customFormat="false" ht="12.8" hidden="false" customHeight="false" outlineLevel="0" collapsed="false">
      <c r="A39" s="1" t="n">
        <v>4</v>
      </c>
      <c r="B39" s="1" t="s">
        <v>71</v>
      </c>
      <c r="C39" s="1" t="s">
        <v>102</v>
      </c>
      <c r="D39" s="1" t="s">
        <v>103</v>
      </c>
      <c r="E39" s="1" t="s">
        <v>74</v>
      </c>
      <c r="F39" s="1" t="n">
        <v>0.63</v>
      </c>
      <c r="G39" s="1" t="n">
        <v>5.09</v>
      </c>
      <c r="H39" s="1" t="n">
        <v>10.51</v>
      </c>
      <c r="I39" s="1" t="n">
        <v>7.56</v>
      </c>
      <c r="L39" s="1" t="n">
        <f aca="false">ROUND(F39*$M$117/$L$117*10,2)</f>
        <v>23.81</v>
      </c>
      <c r="M39" s="1" t="n">
        <f aca="false">ROUND(G39*$M$117/$L$117*10,2)</f>
        <v>192.38</v>
      </c>
      <c r="N39" s="1" t="n">
        <f aca="false">ROUND(H39*$M$117/$L$117*10,2)</f>
        <v>397.23</v>
      </c>
      <c r="O39" s="1" t="n">
        <f aca="false">ROUND(I39*$M$117/$L$117*10,2)</f>
        <v>285.73</v>
      </c>
    </row>
    <row r="40" customFormat="false" ht="12.8" hidden="false" customHeight="false" outlineLevel="0" collapsed="false">
      <c r="A40" s="1" t="n">
        <v>4</v>
      </c>
      <c r="B40" s="1" t="s">
        <v>75</v>
      </c>
      <c r="C40" s="1" t="s">
        <v>102</v>
      </c>
      <c r="D40" s="1" t="s">
        <v>104</v>
      </c>
      <c r="E40" s="1" t="s">
        <v>105</v>
      </c>
      <c r="F40" s="1" t="n">
        <v>0.63</v>
      </c>
      <c r="G40" s="1" t="n">
        <v>5.09</v>
      </c>
      <c r="H40" s="1" t="n">
        <v>15.62</v>
      </c>
      <c r="I40" s="1" t="n">
        <v>7.56</v>
      </c>
      <c r="L40" s="1" t="n">
        <f aca="false">ROUND(F40*$M$117/$L$117*10,2)</f>
        <v>23.81</v>
      </c>
      <c r="M40" s="1" t="n">
        <f aca="false">ROUND(G40*$M$117/$L$117*10,2)</f>
        <v>192.38</v>
      </c>
      <c r="N40" s="1" t="n">
        <f aca="false">ROUND(H40*$M$117/$L$117*10,2)</f>
        <v>590.36</v>
      </c>
      <c r="O40" s="1" t="n">
        <f aca="false">ROUND(I40*$M$117/$L$117*10,2)</f>
        <v>285.73</v>
      </c>
    </row>
    <row r="41" customFormat="false" ht="12.8" hidden="false" customHeight="false" outlineLevel="0" collapsed="false">
      <c r="A41" s="1" t="n">
        <v>4</v>
      </c>
      <c r="B41" s="1" t="s">
        <v>78</v>
      </c>
      <c r="C41" s="1" t="s">
        <v>106</v>
      </c>
      <c r="D41" s="1" t="s">
        <v>107</v>
      </c>
      <c r="E41" s="1" t="s">
        <v>81</v>
      </c>
      <c r="F41" s="1" t="n">
        <v>0.63</v>
      </c>
      <c r="G41" s="1" t="n">
        <v>10.19</v>
      </c>
      <c r="H41" s="1" t="n">
        <v>0.3</v>
      </c>
      <c r="I41" s="1" t="n">
        <v>8.22</v>
      </c>
      <c r="L41" s="1" t="n">
        <f aca="false">ROUND(F41*$M$117/$L$117*10,2)</f>
        <v>23.81</v>
      </c>
      <c r="M41" s="1" t="n">
        <f aca="false">ROUND(G41*$M$117/$L$117*10,2)</f>
        <v>385.13</v>
      </c>
      <c r="N41" s="1" t="n">
        <f aca="false">ROUND(H41*$M$117/$L$117*10,2)</f>
        <v>11.34</v>
      </c>
      <c r="O41" s="1" t="n">
        <f aca="false">ROUND(I41*$M$117/$L$117*10,2)</f>
        <v>310.68</v>
      </c>
    </row>
    <row r="42" customFormat="false" ht="12.8" hidden="false" customHeight="false" outlineLevel="0" collapsed="false">
      <c r="A42" s="1" t="n">
        <v>4</v>
      </c>
      <c r="B42" s="1" t="s">
        <v>108</v>
      </c>
      <c r="C42" s="1" t="s">
        <v>95</v>
      </c>
      <c r="D42" s="1" t="s">
        <v>109</v>
      </c>
      <c r="E42" s="1" t="s">
        <v>84</v>
      </c>
      <c r="F42" s="1" t="n">
        <v>0.63</v>
      </c>
      <c r="G42" s="1" t="n">
        <v>10.19</v>
      </c>
      <c r="H42" s="1" t="n">
        <v>10.51</v>
      </c>
      <c r="I42" s="1" t="n">
        <v>8.22</v>
      </c>
      <c r="J42" s="1" t="n">
        <f aca="false">I42+F42</f>
        <v>8.85</v>
      </c>
      <c r="K42" s="1" t="n">
        <f aca="false">J42-J34</f>
        <v>1.93</v>
      </c>
      <c r="L42" s="1" t="n">
        <f aca="false">ROUND(F42*$M$117/$L$117*10,2)</f>
        <v>23.81</v>
      </c>
      <c r="M42" s="1" t="n">
        <f aca="false">ROUND(G42*$M$117/$L$117*10,2)</f>
        <v>385.13</v>
      </c>
      <c r="N42" s="1" t="n">
        <f aca="false">ROUND(H42*$M$117/$L$117*10,2)</f>
        <v>397.23</v>
      </c>
      <c r="O42" s="1" t="n">
        <f aca="false">ROUND(I42*$M$117/$L$117*10,2)</f>
        <v>310.68</v>
      </c>
    </row>
    <row r="43" customFormat="false" ht="12.8" hidden="false" customHeight="false" outlineLevel="0" collapsed="false">
      <c r="A43" s="1" t="n">
        <v>5</v>
      </c>
      <c r="B43" s="1" t="s">
        <v>110</v>
      </c>
      <c r="E43" s="1" t="s">
        <v>111</v>
      </c>
      <c r="F43" s="1" t="n">
        <v>0.63</v>
      </c>
      <c r="G43" s="1" t="n">
        <v>5.09</v>
      </c>
      <c r="H43" s="1" t="n">
        <v>0.3</v>
      </c>
      <c r="I43" s="1" t="n">
        <v>8.86</v>
      </c>
      <c r="J43" s="1" t="n">
        <f aca="false">I43</f>
        <v>8.86</v>
      </c>
      <c r="L43" s="1" t="n">
        <f aca="false">ROUND(F43*$M$117/$L$117*10,2)</f>
        <v>23.81</v>
      </c>
      <c r="M43" s="1" t="n">
        <f aca="false">ROUND(G43*$M$117/$L$117*10,2)</f>
        <v>192.38</v>
      </c>
      <c r="N43" s="1" t="n">
        <f aca="false">ROUND(H43*$M$117/$L$117*10,2)</f>
        <v>11.34</v>
      </c>
      <c r="O43" s="1" t="n">
        <f aca="false">ROUND(I43*$M$117/$L$117*10,2)</f>
        <v>334.87</v>
      </c>
    </row>
    <row r="44" customFormat="false" ht="12.8" hidden="false" customHeight="false" outlineLevel="0" collapsed="false">
      <c r="A44" s="1" t="n">
        <v>5</v>
      </c>
      <c r="B44" s="1" t="s">
        <v>94</v>
      </c>
      <c r="C44" s="1" t="s">
        <v>112</v>
      </c>
      <c r="D44" s="1" t="s">
        <v>113</v>
      </c>
      <c r="E44" s="1" t="s">
        <v>94</v>
      </c>
      <c r="F44" s="1" t="n">
        <v>0.63</v>
      </c>
      <c r="G44" s="1" t="n">
        <v>5.09</v>
      </c>
      <c r="H44" s="1" t="n">
        <v>5.41</v>
      </c>
      <c r="I44" s="1" t="n">
        <v>8.86</v>
      </c>
      <c r="L44" s="1" t="n">
        <f aca="false">ROUND(F44*$M$117/$L$117*10,2)</f>
        <v>23.81</v>
      </c>
      <c r="M44" s="1" t="n">
        <f aca="false">ROUND(G44*$M$117/$L$117*10,2)</f>
        <v>192.38</v>
      </c>
      <c r="N44" s="1" t="n">
        <f aca="false">ROUND(H44*$M$117/$L$117*10,2)</f>
        <v>204.47</v>
      </c>
      <c r="O44" s="1" t="n">
        <f aca="false">ROUND(I44*$M$117/$L$117*10,2)</f>
        <v>334.87</v>
      </c>
    </row>
    <row r="45" customFormat="false" ht="12.8" hidden="false" customHeight="false" outlineLevel="0" collapsed="false">
      <c r="A45" s="1" t="n">
        <v>5</v>
      </c>
      <c r="B45" s="1" t="s">
        <v>65</v>
      </c>
      <c r="C45" s="1" t="s">
        <v>112</v>
      </c>
      <c r="D45" s="1" t="s">
        <v>114</v>
      </c>
      <c r="E45" s="1" t="s">
        <v>67</v>
      </c>
      <c r="F45" s="1" t="n">
        <v>0.63</v>
      </c>
      <c r="G45" s="1" t="n">
        <v>5.09</v>
      </c>
      <c r="H45" s="1" t="n">
        <v>15.62</v>
      </c>
      <c r="I45" s="1" t="n">
        <v>8.86</v>
      </c>
      <c r="L45" s="1" t="n">
        <f aca="false">ROUND(F45*$M$117/$L$117*10,2)</f>
        <v>23.81</v>
      </c>
      <c r="M45" s="1" t="n">
        <f aca="false">ROUND(G45*$M$117/$L$117*10,2)</f>
        <v>192.38</v>
      </c>
      <c r="N45" s="1" t="n">
        <f aca="false">ROUND(H45*$M$117/$L$117*10,2)</f>
        <v>590.36</v>
      </c>
      <c r="O45" s="1" t="n">
        <f aca="false">ROUND(I45*$M$117/$L$117*10,2)</f>
        <v>334.87</v>
      </c>
    </row>
    <row r="46" customFormat="false" ht="12.8" hidden="false" customHeight="false" outlineLevel="0" collapsed="false">
      <c r="A46" s="1" t="n">
        <v>5</v>
      </c>
      <c r="B46" s="1" t="s">
        <v>68</v>
      </c>
      <c r="C46" s="1" t="s">
        <v>112</v>
      </c>
      <c r="D46" s="1" t="s">
        <v>115</v>
      </c>
      <c r="E46" s="1" t="s">
        <v>70</v>
      </c>
      <c r="F46" s="1" t="n">
        <v>0.63</v>
      </c>
      <c r="G46" s="1" t="n">
        <v>10.19</v>
      </c>
      <c r="H46" s="1" t="n">
        <v>0.3</v>
      </c>
      <c r="I46" s="1" t="n">
        <v>9.5</v>
      </c>
      <c r="L46" s="1" t="n">
        <f aca="false">ROUND(F46*$M$117/$L$117*10,2)</f>
        <v>23.81</v>
      </c>
      <c r="M46" s="1" t="n">
        <f aca="false">ROUND(G46*$M$117/$L$117*10,2)</f>
        <v>385.13</v>
      </c>
      <c r="N46" s="1" t="n">
        <f aca="false">ROUND(H46*$M$117/$L$117*10,2)</f>
        <v>11.34</v>
      </c>
      <c r="O46" s="1" t="n">
        <f aca="false">ROUND(I46*$M$117/$L$117*10,2)</f>
        <v>359.06</v>
      </c>
    </row>
    <row r="47" customFormat="false" ht="12.8" hidden="false" customHeight="false" outlineLevel="0" collapsed="false">
      <c r="A47" s="1" t="n">
        <v>5</v>
      </c>
      <c r="B47" s="1" t="s">
        <v>71</v>
      </c>
      <c r="C47" s="1" t="s">
        <v>116</v>
      </c>
      <c r="D47" s="1" t="s">
        <v>117</v>
      </c>
      <c r="E47" s="1" t="s">
        <v>74</v>
      </c>
      <c r="F47" s="1" t="n">
        <v>0.63</v>
      </c>
      <c r="G47" s="1" t="n">
        <v>5.09</v>
      </c>
      <c r="H47" s="1" t="n">
        <v>10.51</v>
      </c>
      <c r="I47" s="1" t="n">
        <v>9.5</v>
      </c>
      <c r="L47" s="1" t="n">
        <f aca="false">ROUND(F47*$M$117/$L$117*10,2)</f>
        <v>23.81</v>
      </c>
      <c r="M47" s="1" t="n">
        <f aca="false">ROUND(G47*$M$117/$L$117*10,2)</f>
        <v>192.38</v>
      </c>
      <c r="N47" s="1" t="n">
        <f aca="false">ROUND(H47*$M$117/$L$117*10,2)</f>
        <v>397.23</v>
      </c>
      <c r="O47" s="1" t="n">
        <f aca="false">ROUND(I47*$M$117/$L$117*10,2)</f>
        <v>359.06</v>
      </c>
    </row>
    <row r="48" customFormat="false" ht="12.8" hidden="false" customHeight="false" outlineLevel="0" collapsed="false">
      <c r="A48" s="1" t="n">
        <v>5</v>
      </c>
      <c r="B48" s="1" t="s">
        <v>75</v>
      </c>
      <c r="C48" s="1" t="s">
        <v>116</v>
      </c>
      <c r="D48" s="1" t="s">
        <v>118</v>
      </c>
      <c r="E48" s="1" t="s">
        <v>77</v>
      </c>
      <c r="F48" s="1" t="n">
        <v>0.63</v>
      </c>
      <c r="G48" s="1" t="n">
        <v>5.09</v>
      </c>
      <c r="H48" s="1" t="n">
        <v>15.62</v>
      </c>
      <c r="I48" s="1" t="n">
        <v>9.5</v>
      </c>
      <c r="L48" s="1" t="n">
        <f aca="false">ROUND(F48*$M$117/$L$117*10,2)</f>
        <v>23.81</v>
      </c>
      <c r="M48" s="1" t="n">
        <f aca="false">ROUND(G48*$M$117/$L$117*10,2)</f>
        <v>192.38</v>
      </c>
      <c r="N48" s="1" t="n">
        <f aca="false">ROUND(H48*$M$117/$L$117*10,2)</f>
        <v>590.36</v>
      </c>
      <c r="O48" s="1" t="n">
        <f aca="false">ROUND(I48*$M$117/$L$117*10,2)</f>
        <v>359.06</v>
      </c>
    </row>
    <row r="49" customFormat="false" ht="12.8" hidden="false" customHeight="false" outlineLevel="0" collapsed="false">
      <c r="A49" s="1" t="n">
        <v>5</v>
      </c>
      <c r="B49" s="1" t="s">
        <v>78</v>
      </c>
      <c r="C49" s="1" t="s">
        <v>119</v>
      </c>
      <c r="D49" s="1" t="s">
        <v>120</v>
      </c>
      <c r="E49" s="1" t="s">
        <v>121</v>
      </c>
      <c r="F49" s="1" t="n">
        <v>0.63</v>
      </c>
      <c r="G49" s="1" t="n">
        <v>10.19</v>
      </c>
      <c r="H49" s="1" t="n">
        <v>0.3</v>
      </c>
      <c r="I49" s="1" t="n">
        <v>10.16</v>
      </c>
      <c r="L49" s="1" t="n">
        <f aca="false">ROUND(F49*$M$117/$L$117*10,2)</f>
        <v>23.81</v>
      </c>
      <c r="M49" s="1" t="n">
        <f aca="false">ROUND(G49*$M$117/$L$117*10,2)</f>
        <v>385.13</v>
      </c>
      <c r="N49" s="1" t="n">
        <f aca="false">ROUND(H49*$M$117/$L$117*10,2)</f>
        <v>11.34</v>
      </c>
      <c r="O49" s="1" t="n">
        <f aca="false">ROUND(I49*$M$117/$L$117*10,2)</f>
        <v>384</v>
      </c>
    </row>
    <row r="50" customFormat="false" ht="12.8" hidden="false" customHeight="false" outlineLevel="0" collapsed="false">
      <c r="A50" s="1" t="n">
        <v>5</v>
      </c>
      <c r="B50" s="1" t="s">
        <v>108</v>
      </c>
      <c r="C50" s="1" t="s">
        <v>112</v>
      </c>
      <c r="D50" s="1" t="s">
        <v>122</v>
      </c>
      <c r="E50" s="1" t="s">
        <v>84</v>
      </c>
      <c r="F50" s="1" t="n">
        <v>0.63</v>
      </c>
      <c r="G50" s="1" t="n">
        <v>10.19</v>
      </c>
      <c r="H50" s="1" t="n">
        <v>10.51</v>
      </c>
      <c r="I50" s="1" t="n">
        <v>10.16</v>
      </c>
      <c r="J50" s="1" t="n">
        <f aca="false">I50+F50</f>
        <v>10.79</v>
      </c>
      <c r="K50" s="1" t="n">
        <f aca="false">J50-J43</f>
        <v>1.93</v>
      </c>
      <c r="L50" s="1" t="n">
        <f aca="false">ROUND(F50*$M$117/$L$117*10,2)</f>
        <v>23.81</v>
      </c>
      <c r="M50" s="1" t="n">
        <f aca="false">ROUND(G50*$M$117/$L$117*10,2)</f>
        <v>385.13</v>
      </c>
      <c r="N50" s="1" t="n">
        <f aca="false">ROUND(H50*$M$117/$L$117*10,2)</f>
        <v>397.23</v>
      </c>
      <c r="O50" s="1" t="n">
        <f aca="false">ROUND(I50*$M$117/$L$117*10,2)</f>
        <v>384</v>
      </c>
    </row>
    <row r="51" customFormat="false" ht="12.8" hidden="false" customHeight="false" outlineLevel="0" collapsed="false">
      <c r="A51" s="1" t="n">
        <v>6</v>
      </c>
      <c r="B51" s="1" t="s">
        <v>123</v>
      </c>
      <c r="E51" s="1" t="s">
        <v>124</v>
      </c>
      <c r="F51" s="1" t="n">
        <v>0.63</v>
      </c>
      <c r="G51" s="1" t="n">
        <v>5.09</v>
      </c>
      <c r="H51" s="1" t="n">
        <v>0.3</v>
      </c>
      <c r="I51" s="1" t="n">
        <v>10.8</v>
      </c>
      <c r="J51" s="1" t="n">
        <f aca="false">I51</f>
        <v>10.8</v>
      </c>
      <c r="L51" s="1" t="n">
        <f aca="false">ROUND(F51*$M$117/$L$117*10,2)</f>
        <v>23.81</v>
      </c>
      <c r="M51" s="1" t="n">
        <f aca="false">ROUND(G51*$M$117/$L$117*10,2)</f>
        <v>192.38</v>
      </c>
      <c r="N51" s="1" t="n">
        <f aca="false">ROUND(H51*$M$117/$L$117*10,2)</f>
        <v>11.34</v>
      </c>
      <c r="O51" s="1" t="n">
        <f aca="false">ROUND(I51*$M$117/$L$117*10,2)</f>
        <v>408.19</v>
      </c>
    </row>
    <row r="52" customFormat="false" ht="12.8" hidden="false" customHeight="false" outlineLevel="0" collapsed="false">
      <c r="A52" s="1" t="n">
        <v>6</v>
      </c>
      <c r="B52" s="1" t="s">
        <v>94</v>
      </c>
      <c r="C52" s="1" t="s">
        <v>125</v>
      </c>
      <c r="D52" s="1" t="s">
        <v>126</v>
      </c>
      <c r="E52" s="1" t="s">
        <v>94</v>
      </c>
      <c r="F52" s="1" t="n">
        <v>0.63</v>
      </c>
      <c r="G52" s="1" t="n">
        <v>5.09</v>
      </c>
      <c r="H52" s="1" t="n">
        <v>5.41</v>
      </c>
      <c r="I52" s="1" t="n">
        <v>10.8</v>
      </c>
      <c r="L52" s="1" t="n">
        <f aca="false">ROUND(F52*$M$117/$L$117*10,2)</f>
        <v>23.81</v>
      </c>
      <c r="M52" s="1" t="n">
        <f aca="false">ROUND(G52*$M$117/$L$117*10,2)</f>
        <v>192.38</v>
      </c>
      <c r="N52" s="1" t="n">
        <f aca="false">ROUND(H52*$M$117/$L$117*10,2)</f>
        <v>204.47</v>
      </c>
      <c r="O52" s="1" t="n">
        <f aca="false">ROUND(I52*$M$117/$L$117*10,2)</f>
        <v>408.19</v>
      </c>
    </row>
    <row r="53" customFormat="false" ht="12.8" hidden="false" customHeight="false" outlineLevel="0" collapsed="false">
      <c r="A53" s="1" t="n">
        <v>6</v>
      </c>
      <c r="B53" s="1" t="s">
        <v>61</v>
      </c>
      <c r="C53" s="1" t="s">
        <v>125</v>
      </c>
      <c r="D53" s="1" t="s">
        <v>127</v>
      </c>
      <c r="E53" s="1" t="s">
        <v>64</v>
      </c>
      <c r="F53" s="1" t="n">
        <v>0.63</v>
      </c>
      <c r="G53" s="1" t="n">
        <v>5.09</v>
      </c>
      <c r="H53" s="1" t="n">
        <v>10.51</v>
      </c>
      <c r="I53" s="1" t="n">
        <v>10.8</v>
      </c>
      <c r="L53" s="1" t="n">
        <f aca="false">ROUND(F53*$M$117/$L$117*10,2)</f>
        <v>23.81</v>
      </c>
      <c r="M53" s="1" t="n">
        <f aca="false">ROUND(G53*$M$117/$L$117*10,2)</f>
        <v>192.38</v>
      </c>
      <c r="N53" s="1" t="n">
        <f aca="false">ROUND(H53*$M$117/$L$117*10,2)</f>
        <v>397.23</v>
      </c>
      <c r="O53" s="1" t="n">
        <f aca="false">ROUND(I53*$M$117/$L$117*10,2)</f>
        <v>408.19</v>
      </c>
    </row>
    <row r="54" customFormat="false" ht="12.8" hidden="false" customHeight="false" outlineLevel="0" collapsed="false">
      <c r="A54" s="1" t="n">
        <v>6</v>
      </c>
      <c r="B54" s="1" t="s">
        <v>65</v>
      </c>
      <c r="C54" s="1" t="s">
        <v>128</v>
      </c>
      <c r="D54" s="1" t="s">
        <v>129</v>
      </c>
      <c r="E54" s="1" t="s">
        <v>67</v>
      </c>
      <c r="F54" s="1" t="n">
        <v>0.63</v>
      </c>
      <c r="G54" s="1" t="n">
        <v>5.09</v>
      </c>
      <c r="H54" s="1" t="n">
        <v>15.62</v>
      </c>
      <c r="I54" s="1" t="n">
        <v>10.8</v>
      </c>
      <c r="L54" s="1" t="n">
        <f aca="false">ROUND(F54*$M$117/$L$117*10,2)</f>
        <v>23.81</v>
      </c>
      <c r="M54" s="1" t="n">
        <f aca="false">ROUND(G54*$M$117/$L$117*10,2)</f>
        <v>192.38</v>
      </c>
      <c r="N54" s="1" t="n">
        <f aca="false">ROUND(H54*$M$117/$L$117*10,2)</f>
        <v>590.36</v>
      </c>
      <c r="O54" s="1" t="n">
        <f aca="false">ROUND(I54*$M$117/$L$117*10,2)</f>
        <v>408.19</v>
      </c>
    </row>
    <row r="55" customFormat="false" ht="12.8" hidden="false" customHeight="false" outlineLevel="0" collapsed="false">
      <c r="A55" s="1" t="n">
        <v>6</v>
      </c>
      <c r="B55" s="1" t="s">
        <v>68</v>
      </c>
      <c r="C55" s="1" t="s">
        <v>125</v>
      </c>
      <c r="D55" s="1" t="s">
        <v>130</v>
      </c>
      <c r="E55" s="1" t="s">
        <v>70</v>
      </c>
      <c r="F55" s="1" t="n">
        <v>0.63</v>
      </c>
      <c r="G55" s="1" t="n">
        <v>10.19</v>
      </c>
      <c r="H55" s="1" t="n">
        <v>0.3</v>
      </c>
      <c r="I55" s="1" t="n">
        <v>11.44</v>
      </c>
      <c r="L55" s="1" t="n">
        <f aca="false">ROUND(F55*$M$117/$L$117*10,2)</f>
        <v>23.81</v>
      </c>
      <c r="M55" s="1" t="n">
        <f aca="false">ROUND(G55*$M$117/$L$117*10,2)</f>
        <v>385.13</v>
      </c>
      <c r="N55" s="1" t="n">
        <f aca="false">ROUND(H55*$M$117/$L$117*10,2)</f>
        <v>11.34</v>
      </c>
      <c r="O55" s="1" t="n">
        <f aca="false">ROUND(I55*$M$117/$L$117*10,2)</f>
        <v>432.38</v>
      </c>
    </row>
    <row r="56" customFormat="false" ht="12.8" hidden="false" customHeight="false" outlineLevel="0" collapsed="false">
      <c r="A56" s="1" t="n">
        <v>6</v>
      </c>
      <c r="B56" s="1" t="s">
        <v>71</v>
      </c>
      <c r="C56" s="1" t="s">
        <v>131</v>
      </c>
      <c r="D56" s="1" t="s">
        <v>132</v>
      </c>
      <c r="E56" s="1" t="s">
        <v>133</v>
      </c>
      <c r="F56" s="1" t="n">
        <v>0.63</v>
      </c>
      <c r="G56" s="1" t="n">
        <v>5.09</v>
      </c>
      <c r="H56" s="1" t="n">
        <v>10.51</v>
      </c>
      <c r="I56" s="1" t="n">
        <v>11.44</v>
      </c>
      <c r="L56" s="1" t="n">
        <f aca="false">ROUND(F56*$M$117/$L$117*10,2)</f>
        <v>23.81</v>
      </c>
      <c r="M56" s="1" t="n">
        <f aca="false">ROUND(G56*$M$117/$L$117*10,2)</f>
        <v>192.38</v>
      </c>
      <c r="N56" s="1" t="n">
        <f aca="false">ROUND(H56*$M$117/$L$117*10,2)</f>
        <v>397.23</v>
      </c>
      <c r="O56" s="1" t="n">
        <f aca="false">ROUND(I56*$M$117/$L$117*10,2)</f>
        <v>432.38</v>
      </c>
    </row>
    <row r="57" customFormat="false" ht="12.8" hidden="false" customHeight="false" outlineLevel="0" collapsed="false">
      <c r="A57" s="1" t="n">
        <v>6</v>
      </c>
      <c r="B57" s="1" t="s">
        <v>75</v>
      </c>
      <c r="C57" s="1" t="s">
        <v>131</v>
      </c>
      <c r="D57" s="1" t="s">
        <v>134</v>
      </c>
      <c r="E57" s="1" t="s">
        <v>77</v>
      </c>
      <c r="F57" s="1" t="n">
        <v>0.63</v>
      </c>
      <c r="G57" s="1" t="n">
        <v>5.09</v>
      </c>
      <c r="H57" s="1" t="n">
        <v>15.62</v>
      </c>
      <c r="I57" s="1" t="n">
        <v>11.44</v>
      </c>
      <c r="L57" s="1" t="n">
        <f aca="false">ROUND(F57*$M$117/$L$117*10,2)</f>
        <v>23.81</v>
      </c>
      <c r="M57" s="1" t="n">
        <f aca="false">ROUND(G57*$M$117/$L$117*10,2)</f>
        <v>192.38</v>
      </c>
      <c r="N57" s="1" t="n">
        <f aca="false">ROUND(H57*$M$117/$L$117*10,2)</f>
        <v>590.36</v>
      </c>
      <c r="O57" s="1" t="n">
        <f aca="false">ROUND(I57*$M$117/$L$117*10,2)</f>
        <v>432.38</v>
      </c>
    </row>
    <row r="58" customFormat="false" ht="12.8" hidden="false" customHeight="false" outlineLevel="0" collapsed="false">
      <c r="A58" s="1" t="n">
        <v>6</v>
      </c>
      <c r="B58" s="1" t="s">
        <v>78</v>
      </c>
      <c r="C58" s="1" t="s">
        <v>135</v>
      </c>
      <c r="D58" s="1" t="s">
        <v>136</v>
      </c>
      <c r="E58" s="1" t="s">
        <v>121</v>
      </c>
      <c r="F58" s="1" t="n">
        <v>0.63</v>
      </c>
      <c r="G58" s="1" t="n">
        <v>10.19</v>
      </c>
      <c r="H58" s="1" t="n">
        <v>0.3</v>
      </c>
      <c r="I58" s="1" t="n">
        <v>12.09</v>
      </c>
      <c r="L58" s="1" t="n">
        <f aca="false">ROUND(F58*$M$117/$L$117*10,2)</f>
        <v>23.81</v>
      </c>
      <c r="M58" s="1" t="n">
        <f aca="false">ROUND(G58*$M$117/$L$117*10,2)</f>
        <v>385.13</v>
      </c>
      <c r="N58" s="1" t="n">
        <f aca="false">ROUND(H58*$M$117/$L$117*10,2)</f>
        <v>11.34</v>
      </c>
      <c r="O58" s="1" t="n">
        <f aca="false">ROUND(I58*$M$117/$L$117*10,2)</f>
        <v>456.94</v>
      </c>
    </row>
    <row r="59" customFormat="false" ht="12.8" hidden="false" customHeight="false" outlineLevel="0" collapsed="false">
      <c r="A59" s="1" t="n">
        <v>6</v>
      </c>
      <c r="B59" s="1" t="s">
        <v>108</v>
      </c>
      <c r="C59" s="1" t="s">
        <v>125</v>
      </c>
      <c r="D59" s="1" t="s">
        <v>137</v>
      </c>
      <c r="E59" s="1" t="s">
        <v>84</v>
      </c>
      <c r="F59" s="1" t="n">
        <v>0.63</v>
      </c>
      <c r="G59" s="1" t="n">
        <v>10.19</v>
      </c>
      <c r="H59" s="1" t="n">
        <v>10.51</v>
      </c>
      <c r="I59" s="1" t="n">
        <v>12.09</v>
      </c>
      <c r="J59" s="1" t="n">
        <f aca="false">I59+F59</f>
        <v>12.72</v>
      </c>
      <c r="K59" s="1" t="n">
        <f aca="false">J59-J51</f>
        <v>1.92</v>
      </c>
      <c r="L59" s="1" t="n">
        <f aca="false">ROUND(F59*$M$117/$L$117*10,2)</f>
        <v>23.81</v>
      </c>
      <c r="M59" s="1" t="n">
        <f aca="false">ROUND(G59*$M$117/$L$117*10,2)</f>
        <v>385.13</v>
      </c>
      <c r="N59" s="1" t="n">
        <f aca="false">ROUND(H59*$M$117/$L$117*10,2)</f>
        <v>397.23</v>
      </c>
      <c r="O59" s="1" t="n">
        <f aca="false">ROUND(I59*$M$117/$L$117*10,2)</f>
        <v>456.94</v>
      </c>
    </row>
    <row r="60" customFormat="false" ht="12.8" hidden="false" customHeight="false" outlineLevel="0" collapsed="false">
      <c r="A60" s="1" t="n">
        <v>7</v>
      </c>
      <c r="B60" s="1" t="s">
        <v>138</v>
      </c>
      <c r="E60" s="1" t="s">
        <v>139</v>
      </c>
      <c r="F60" s="1" t="n">
        <v>0.63</v>
      </c>
      <c r="G60" s="1" t="n">
        <v>5.09</v>
      </c>
      <c r="H60" s="1" t="n">
        <v>0.3</v>
      </c>
      <c r="I60" s="1" t="n">
        <v>12.74</v>
      </c>
      <c r="J60" s="1" t="n">
        <f aca="false">I60</f>
        <v>12.74</v>
      </c>
      <c r="L60" s="1" t="n">
        <f aca="false">ROUND(F60*$M$117/$L$117*10,2)</f>
        <v>23.81</v>
      </c>
      <c r="M60" s="1" t="n">
        <f aca="false">ROUND(G60*$M$117/$L$117*10,2)</f>
        <v>192.38</v>
      </c>
      <c r="N60" s="1" t="n">
        <f aca="false">ROUND(H60*$M$117/$L$117*10,2)</f>
        <v>11.34</v>
      </c>
      <c r="O60" s="1" t="n">
        <f aca="false">ROUND(I60*$M$117/$L$117*10,2)</f>
        <v>481.51</v>
      </c>
    </row>
    <row r="61" customFormat="false" ht="12.8" hidden="false" customHeight="false" outlineLevel="0" collapsed="false">
      <c r="A61" s="1" t="n">
        <v>7</v>
      </c>
      <c r="B61" s="1" t="s">
        <v>140</v>
      </c>
      <c r="C61" s="1" t="s">
        <v>141</v>
      </c>
      <c r="D61" s="1" t="s">
        <v>142</v>
      </c>
      <c r="E61" s="1" t="s">
        <v>143</v>
      </c>
      <c r="F61" s="1" t="n">
        <v>0.63</v>
      </c>
      <c r="G61" s="1" t="n">
        <v>5.09</v>
      </c>
      <c r="H61" s="1" t="n">
        <v>5.41</v>
      </c>
      <c r="I61" s="1" t="n">
        <v>12.74</v>
      </c>
      <c r="L61" s="1" t="n">
        <f aca="false">ROUND(F61*$M$117/$L$117*10,2)</f>
        <v>23.81</v>
      </c>
      <c r="M61" s="1" t="n">
        <f aca="false">ROUND(G61*$M$117/$L$117*10,2)</f>
        <v>192.38</v>
      </c>
      <c r="N61" s="1" t="n">
        <f aca="false">ROUND(H61*$M$117/$L$117*10,2)</f>
        <v>204.47</v>
      </c>
      <c r="O61" s="1" t="n">
        <f aca="false">ROUND(I61*$M$117/$L$117*10,2)</f>
        <v>481.51</v>
      </c>
    </row>
    <row r="62" customFormat="false" ht="12.8" hidden="false" customHeight="false" outlineLevel="0" collapsed="false">
      <c r="A62" s="1" t="n">
        <v>7</v>
      </c>
      <c r="B62" s="1" t="s">
        <v>144</v>
      </c>
      <c r="C62" s="1" t="s">
        <v>145</v>
      </c>
      <c r="D62" s="1" t="s">
        <v>146</v>
      </c>
      <c r="E62" s="1" t="s">
        <v>146</v>
      </c>
      <c r="F62" s="1" t="n">
        <v>0.63</v>
      </c>
      <c r="G62" s="1" t="n">
        <v>5.09</v>
      </c>
      <c r="H62" s="1" t="n">
        <v>10.51</v>
      </c>
      <c r="I62" s="1" t="n">
        <v>12.74</v>
      </c>
      <c r="L62" s="1" t="n">
        <f aca="false">ROUND(F62*$M$117/$L$117*10,2)</f>
        <v>23.81</v>
      </c>
      <c r="M62" s="1" t="n">
        <f aca="false">ROUND(G62*$M$117/$L$117*10,2)</f>
        <v>192.38</v>
      </c>
      <c r="N62" s="1" t="n">
        <f aca="false">ROUND(H62*$M$117/$L$117*10,2)</f>
        <v>397.23</v>
      </c>
      <c r="O62" s="1" t="n">
        <f aca="false">ROUND(I62*$M$117/$L$117*10,2)</f>
        <v>481.51</v>
      </c>
    </row>
    <row r="63" customFormat="false" ht="12.8" hidden="false" customHeight="false" outlineLevel="0" collapsed="false">
      <c r="A63" s="1" t="n">
        <v>7</v>
      </c>
      <c r="B63" s="1" t="s">
        <v>147</v>
      </c>
      <c r="C63" s="1" t="s">
        <v>148</v>
      </c>
      <c r="D63" s="1" t="s">
        <v>149</v>
      </c>
      <c r="E63" s="1" t="s">
        <v>150</v>
      </c>
      <c r="F63" s="1" t="n">
        <v>0.63</v>
      </c>
      <c r="G63" s="1" t="n">
        <v>5.09</v>
      </c>
      <c r="H63" s="1" t="n">
        <v>15.62</v>
      </c>
      <c r="I63" s="1" t="n">
        <v>12.74</v>
      </c>
      <c r="L63" s="1" t="n">
        <f aca="false">ROUND(F63*$M$117/$L$117*10,2)</f>
        <v>23.81</v>
      </c>
      <c r="M63" s="1" t="n">
        <f aca="false">ROUND(G63*$M$117/$L$117*10,2)</f>
        <v>192.38</v>
      </c>
      <c r="N63" s="1" t="n">
        <f aca="false">ROUND(H63*$M$117/$L$117*10,2)</f>
        <v>590.36</v>
      </c>
      <c r="O63" s="1" t="n">
        <f aca="false">ROUND(I63*$M$117/$L$117*10,2)</f>
        <v>481.51</v>
      </c>
    </row>
    <row r="64" customFormat="false" ht="12.8" hidden="false" customHeight="false" outlineLevel="0" collapsed="false">
      <c r="A64" s="1" t="n">
        <v>7</v>
      </c>
      <c r="B64" s="1" t="s">
        <v>151</v>
      </c>
      <c r="C64" s="1" t="s">
        <v>141</v>
      </c>
      <c r="D64" s="1" t="s">
        <v>152</v>
      </c>
      <c r="E64" s="1" t="s">
        <v>153</v>
      </c>
      <c r="F64" s="1" t="n">
        <v>0.38</v>
      </c>
      <c r="G64" s="1" t="n">
        <v>20.4</v>
      </c>
      <c r="H64" s="1" t="n">
        <v>0.3</v>
      </c>
      <c r="I64" s="1" t="n">
        <v>13.39</v>
      </c>
      <c r="L64" s="1" t="n">
        <f aca="false">ROUND(F64*$M$117/$L$117*10,2)</f>
        <v>14.36</v>
      </c>
      <c r="M64" s="1" t="n">
        <f aca="false">ROUND(G64*$M$117/$L$117*10,2)</f>
        <v>771.02</v>
      </c>
      <c r="N64" s="1" t="n">
        <f aca="false">ROUND(H64*$M$117/$L$117*10,2)</f>
        <v>11.34</v>
      </c>
      <c r="O64" s="1" t="n">
        <f aca="false">ROUND(I64*$M$117/$L$117*10,2)</f>
        <v>506.08</v>
      </c>
    </row>
    <row r="65" customFormat="false" ht="12.8" hidden="false" customHeight="false" outlineLevel="0" collapsed="false">
      <c r="A65" s="1" t="n">
        <v>7</v>
      </c>
      <c r="B65" s="1" t="s">
        <v>154</v>
      </c>
      <c r="C65" s="1" t="s">
        <v>145</v>
      </c>
      <c r="D65" s="1" t="s">
        <v>155</v>
      </c>
      <c r="E65" s="1" t="s">
        <v>156</v>
      </c>
      <c r="F65" s="1" t="n">
        <v>0.63</v>
      </c>
      <c r="G65" s="1" t="n">
        <v>20.4</v>
      </c>
      <c r="H65" s="1" t="n">
        <v>0.3</v>
      </c>
      <c r="I65" s="1" t="n">
        <v>13.79</v>
      </c>
      <c r="J65" s="1" t="n">
        <f aca="false">I65+F65</f>
        <v>14.42</v>
      </c>
      <c r="K65" s="1" t="n">
        <f aca="false">J65-J60</f>
        <v>1.68</v>
      </c>
      <c r="L65" s="1" t="n">
        <f aca="false">ROUND(F65*$M$117/$L$117*10,2)</f>
        <v>23.81</v>
      </c>
      <c r="M65" s="1" t="n">
        <f aca="false">ROUND(G65*$M$117/$L$117*10,2)</f>
        <v>771.02</v>
      </c>
      <c r="N65" s="1" t="n">
        <f aca="false">ROUND(H65*$M$117/$L$117*10,2)</f>
        <v>11.34</v>
      </c>
      <c r="O65" s="1" t="n">
        <f aca="false">ROUND(I65*$M$117/$L$117*10,2)</f>
        <v>521.2</v>
      </c>
    </row>
    <row r="66" customFormat="false" ht="12.8" hidden="false" customHeight="false" outlineLevel="0" collapsed="false">
      <c r="A66" s="1" t="n">
        <v>8</v>
      </c>
      <c r="B66" s="1" t="s">
        <v>157</v>
      </c>
      <c r="E66" s="2" t="s">
        <v>158</v>
      </c>
      <c r="F66" s="1" t="n">
        <v>0.63</v>
      </c>
      <c r="G66" s="1" t="n">
        <v>5.09</v>
      </c>
      <c r="H66" s="1" t="n">
        <v>0.3</v>
      </c>
      <c r="I66" s="1" t="n">
        <v>14.43</v>
      </c>
      <c r="J66" s="1" t="n">
        <f aca="false">I66</f>
        <v>14.43</v>
      </c>
      <c r="L66" s="1" t="n">
        <f aca="false">ROUND(F66*$M$117/$L$117*10,2)</f>
        <v>23.81</v>
      </c>
      <c r="M66" s="1" t="n">
        <f aca="false">ROUND(G66*$M$117/$L$117*10,2)</f>
        <v>192.38</v>
      </c>
      <c r="N66" s="1" t="n">
        <f aca="false">ROUND(H66*$M$117/$L$117*10,2)</f>
        <v>11.34</v>
      </c>
      <c r="O66" s="1" t="n">
        <f aca="false">ROUND(I66*$M$117/$L$117*10,2)</f>
        <v>545.39</v>
      </c>
    </row>
    <row r="67" customFormat="false" ht="12.8" hidden="false" customHeight="false" outlineLevel="0" collapsed="false">
      <c r="A67" s="1" t="n">
        <v>8</v>
      </c>
      <c r="B67" s="1" t="s">
        <v>159</v>
      </c>
      <c r="C67" s="1" t="s">
        <v>160</v>
      </c>
      <c r="D67" s="1" t="s">
        <v>161</v>
      </c>
      <c r="E67" s="1" t="s">
        <v>161</v>
      </c>
      <c r="F67" s="1" t="n">
        <v>0.63</v>
      </c>
      <c r="G67" s="1" t="n">
        <v>5.09</v>
      </c>
      <c r="H67" s="1" t="n">
        <v>5.41</v>
      </c>
      <c r="I67" s="1" t="n">
        <v>14.43</v>
      </c>
      <c r="L67" s="1" t="n">
        <f aca="false">ROUND(F67*$M$117/$L$117*10,2)</f>
        <v>23.81</v>
      </c>
      <c r="M67" s="1" t="n">
        <f aca="false">ROUND(G67*$M$117/$L$117*10,2)</f>
        <v>192.38</v>
      </c>
      <c r="N67" s="1" t="n">
        <f aca="false">ROUND(H67*$M$117/$L$117*10,2)</f>
        <v>204.47</v>
      </c>
      <c r="O67" s="1" t="n">
        <f aca="false">ROUND(I67*$M$117/$L$117*10,2)</f>
        <v>545.39</v>
      </c>
    </row>
    <row r="68" customFormat="false" ht="12.8" hidden="false" customHeight="false" outlineLevel="0" collapsed="false">
      <c r="A68" s="1" t="n">
        <v>8</v>
      </c>
      <c r="B68" s="1" t="s">
        <v>162</v>
      </c>
      <c r="C68" s="1" t="s">
        <v>163</v>
      </c>
      <c r="D68" s="1" t="s">
        <v>164</v>
      </c>
      <c r="E68" s="1" t="s">
        <v>165</v>
      </c>
      <c r="F68" s="1" t="n">
        <v>0.63</v>
      </c>
      <c r="G68" s="1" t="n">
        <v>10.19</v>
      </c>
      <c r="H68" s="1" t="n">
        <v>10.51</v>
      </c>
      <c r="I68" s="1" t="n">
        <v>14.43</v>
      </c>
      <c r="L68" s="1" t="n">
        <f aca="false">ROUND(F68*$M$117/$L$117*10,2)</f>
        <v>23.81</v>
      </c>
      <c r="M68" s="1" t="n">
        <f aca="false">ROUND(G68*$M$117/$L$117*10,2)</f>
        <v>385.13</v>
      </c>
      <c r="N68" s="1" t="n">
        <f aca="false">ROUND(H68*$M$117/$L$117*10,2)</f>
        <v>397.23</v>
      </c>
      <c r="O68" s="1" t="n">
        <f aca="false">ROUND(I68*$M$117/$L$117*10,2)</f>
        <v>545.39</v>
      </c>
    </row>
    <row r="69" customFormat="false" ht="12.8" hidden="false" customHeight="false" outlineLevel="0" collapsed="false">
      <c r="A69" s="1" t="n">
        <v>8</v>
      </c>
      <c r="B69" s="1" t="s">
        <v>166</v>
      </c>
      <c r="C69" s="1" t="s">
        <v>86</v>
      </c>
      <c r="D69" s="1" t="s">
        <v>167</v>
      </c>
      <c r="E69" s="1" t="s">
        <v>167</v>
      </c>
      <c r="F69" s="1" t="n">
        <v>0.63</v>
      </c>
      <c r="G69" s="1" t="n">
        <v>5.09</v>
      </c>
      <c r="H69" s="1" t="n">
        <v>0.3</v>
      </c>
      <c r="I69" s="1" t="n">
        <v>15.08</v>
      </c>
      <c r="L69" s="1" t="n">
        <f aca="false">ROUND(F69*$M$117/$L$117*10,2)</f>
        <v>23.81</v>
      </c>
      <c r="M69" s="1" t="n">
        <f aca="false">ROUND(G69*$M$117/$L$117*10,2)</f>
        <v>192.38</v>
      </c>
      <c r="N69" s="1" t="n">
        <f aca="false">ROUND(H69*$M$117/$L$117*10,2)</f>
        <v>11.34</v>
      </c>
      <c r="O69" s="1" t="n">
        <f aca="false">ROUND(I69*$M$117/$L$117*10,2)</f>
        <v>569.95</v>
      </c>
    </row>
    <row r="70" customFormat="false" ht="12.8" hidden="false" customHeight="false" outlineLevel="0" collapsed="false">
      <c r="A70" s="1" t="n">
        <v>8</v>
      </c>
      <c r="B70" s="1" t="s">
        <v>168</v>
      </c>
      <c r="C70" s="1" t="s">
        <v>160</v>
      </c>
      <c r="D70" s="1" t="s">
        <v>169</v>
      </c>
      <c r="E70" s="1" t="s">
        <v>170</v>
      </c>
      <c r="F70" s="1" t="n">
        <v>0.63</v>
      </c>
      <c r="G70" s="1" t="n">
        <v>5.09</v>
      </c>
      <c r="H70" s="1" t="n">
        <v>5.41</v>
      </c>
      <c r="I70" s="1" t="n">
        <v>15.08</v>
      </c>
      <c r="L70" s="1" t="n">
        <f aca="false">ROUND(F70*$M$117/$L$117*10,2)</f>
        <v>23.81</v>
      </c>
      <c r="M70" s="1" t="n">
        <f aca="false">ROUND(G70*$M$117/$L$117*10,2)</f>
        <v>192.38</v>
      </c>
      <c r="N70" s="1" t="n">
        <f aca="false">ROUND(H70*$M$117/$L$117*10,2)</f>
        <v>204.47</v>
      </c>
      <c r="O70" s="1" t="n">
        <f aca="false">ROUND(I70*$M$117/$L$117*10,2)</f>
        <v>569.95</v>
      </c>
    </row>
    <row r="71" customFormat="false" ht="12.8" hidden="false" customHeight="false" outlineLevel="0" collapsed="false">
      <c r="A71" s="1" t="n">
        <v>8</v>
      </c>
      <c r="B71" s="1" t="s">
        <v>171</v>
      </c>
      <c r="C71" s="1" t="s">
        <v>172</v>
      </c>
      <c r="D71" s="1" t="s">
        <v>173</v>
      </c>
      <c r="E71" s="1" t="s">
        <v>174</v>
      </c>
      <c r="F71" s="1" t="n">
        <v>0.63</v>
      </c>
      <c r="G71" s="1" t="n">
        <v>5.09</v>
      </c>
      <c r="H71" s="1" t="n">
        <v>10.51</v>
      </c>
      <c r="I71" s="1" t="n">
        <v>15.08</v>
      </c>
      <c r="L71" s="1" t="n">
        <f aca="false">ROUND(F71*$M$117/$L$117*10,2)</f>
        <v>23.81</v>
      </c>
      <c r="M71" s="1" t="n">
        <f aca="false">ROUND(G71*$M$117/$L$117*10,2)</f>
        <v>192.38</v>
      </c>
      <c r="N71" s="1" t="n">
        <f aca="false">ROUND(H71*$M$117/$L$117*10,2)</f>
        <v>397.23</v>
      </c>
      <c r="O71" s="1" t="n">
        <f aca="false">ROUND(I71*$M$117/$L$117*10,2)</f>
        <v>569.95</v>
      </c>
    </row>
    <row r="72" customFormat="false" ht="12.8" hidden="false" customHeight="false" outlineLevel="0" collapsed="false">
      <c r="A72" s="1" t="n">
        <v>8</v>
      </c>
      <c r="B72" s="1" t="s">
        <v>175</v>
      </c>
      <c r="C72" s="1" t="s">
        <v>172</v>
      </c>
      <c r="D72" s="1" t="s">
        <v>176</v>
      </c>
      <c r="E72" s="1" t="s">
        <v>176</v>
      </c>
      <c r="F72" s="1" t="n">
        <v>0.63</v>
      </c>
      <c r="G72" s="1" t="n">
        <v>5.09</v>
      </c>
      <c r="H72" s="1" t="n">
        <v>15.62</v>
      </c>
      <c r="I72" s="1" t="n">
        <v>15.08</v>
      </c>
      <c r="L72" s="1" t="n">
        <f aca="false">ROUND(F72*$M$117/$L$117*10,2)</f>
        <v>23.81</v>
      </c>
      <c r="M72" s="1" t="n">
        <f aca="false">ROUND(G72*$M$117/$L$117*10,2)</f>
        <v>192.38</v>
      </c>
      <c r="N72" s="1" t="n">
        <f aca="false">ROUND(H72*$M$117/$L$117*10,2)</f>
        <v>590.36</v>
      </c>
      <c r="O72" s="1" t="n">
        <f aca="false">ROUND(I72*$M$117/$L$117*10,2)</f>
        <v>569.95</v>
      </c>
    </row>
    <row r="73" customFormat="false" ht="12.8" hidden="false" customHeight="false" outlineLevel="0" collapsed="false">
      <c r="A73" s="1" t="n">
        <v>8</v>
      </c>
      <c r="B73" s="1" t="s">
        <v>177</v>
      </c>
      <c r="C73" s="1" t="s">
        <v>178</v>
      </c>
      <c r="D73" s="1" t="s">
        <v>179</v>
      </c>
      <c r="E73" s="1" t="s">
        <v>180</v>
      </c>
      <c r="F73" s="1" t="n">
        <v>0.63</v>
      </c>
      <c r="G73" s="1" t="n">
        <v>5.09</v>
      </c>
      <c r="H73" s="1" t="n">
        <v>0.3</v>
      </c>
      <c r="I73" s="1" t="n">
        <v>15.73</v>
      </c>
      <c r="L73" s="1" t="n">
        <f aca="false">ROUND(F73*$M$117/$L$117*10,2)</f>
        <v>23.81</v>
      </c>
      <c r="M73" s="1" t="n">
        <f aca="false">ROUND(G73*$M$117/$L$117*10,2)</f>
        <v>192.38</v>
      </c>
      <c r="N73" s="1" t="n">
        <f aca="false">ROUND(H73*$M$117/$L$117*10,2)</f>
        <v>11.34</v>
      </c>
      <c r="O73" s="1" t="n">
        <f aca="false">ROUND(I73*$M$117/$L$117*10,2)</f>
        <v>594.52</v>
      </c>
    </row>
    <row r="74" customFormat="false" ht="12.8" hidden="false" customHeight="false" outlineLevel="0" collapsed="false">
      <c r="A74" s="1" t="n">
        <v>8</v>
      </c>
      <c r="B74" s="1" t="s">
        <v>181</v>
      </c>
      <c r="C74" s="1" t="s">
        <v>182</v>
      </c>
      <c r="D74" s="2" t="s">
        <v>183</v>
      </c>
      <c r="E74" s="1" t="s">
        <v>184</v>
      </c>
      <c r="F74" s="1" t="n">
        <v>0.63</v>
      </c>
      <c r="G74" s="1" t="n">
        <v>5.09</v>
      </c>
      <c r="H74" s="1" t="n">
        <v>5.41</v>
      </c>
      <c r="I74" s="1" t="n">
        <v>15.73</v>
      </c>
      <c r="L74" s="1" t="n">
        <f aca="false">ROUND(F74*$M$117/$L$117*10,2)</f>
        <v>23.81</v>
      </c>
      <c r="M74" s="1" t="n">
        <f aca="false">ROUND(G74*$M$117/$L$117*10,2)</f>
        <v>192.38</v>
      </c>
      <c r="N74" s="1" t="n">
        <f aca="false">ROUND(H74*$M$117/$L$117*10,2)</f>
        <v>204.47</v>
      </c>
      <c r="O74" s="1" t="n">
        <f aca="false">ROUND(I74*$M$117/$L$117*10,2)</f>
        <v>594.52</v>
      </c>
    </row>
    <row r="75" customFormat="false" ht="12.8" hidden="false" customHeight="false" outlineLevel="0" collapsed="false">
      <c r="A75" s="1" t="n">
        <v>8</v>
      </c>
      <c r="B75" s="1" t="s">
        <v>185</v>
      </c>
      <c r="C75" s="1" t="s">
        <v>186</v>
      </c>
      <c r="D75" s="1" t="s">
        <v>187</v>
      </c>
      <c r="E75" s="1" t="s">
        <v>188</v>
      </c>
      <c r="F75" s="1" t="n">
        <v>0.63</v>
      </c>
      <c r="G75" s="1" t="n">
        <v>5.09</v>
      </c>
      <c r="H75" s="1" t="n">
        <v>10.51</v>
      </c>
      <c r="I75" s="1" t="n">
        <v>15.73</v>
      </c>
      <c r="L75" s="1" t="n">
        <f aca="false">ROUND(F75*$M$117/$L$117*10,2)</f>
        <v>23.81</v>
      </c>
      <c r="M75" s="1" t="n">
        <f aca="false">ROUND(G75*$M$117/$L$117*10,2)</f>
        <v>192.38</v>
      </c>
      <c r="N75" s="1" t="n">
        <f aca="false">ROUND(H75*$M$117/$L$117*10,2)</f>
        <v>397.23</v>
      </c>
      <c r="O75" s="1" t="n">
        <f aca="false">ROUND(I75*$M$117/$L$117*10,2)</f>
        <v>594.52</v>
      </c>
    </row>
    <row r="76" customFormat="false" ht="12.8" hidden="false" customHeight="false" outlineLevel="0" collapsed="false">
      <c r="A76" s="1" t="n">
        <v>8</v>
      </c>
      <c r="B76" s="1" t="s">
        <v>189</v>
      </c>
      <c r="C76" s="1" t="s">
        <v>190</v>
      </c>
      <c r="D76" s="1" t="s">
        <v>191</v>
      </c>
      <c r="E76" s="1" t="s">
        <v>191</v>
      </c>
      <c r="F76" s="1" t="n">
        <v>0.63</v>
      </c>
      <c r="G76" s="1" t="n">
        <v>5.09</v>
      </c>
      <c r="H76" s="1" t="n">
        <v>15.62</v>
      </c>
      <c r="I76" s="1" t="n">
        <v>15.73</v>
      </c>
      <c r="L76" s="1" t="n">
        <f aca="false">ROUND(F76*$M$117/$L$117*10,2)</f>
        <v>23.81</v>
      </c>
      <c r="M76" s="1" t="n">
        <f aca="false">ROUND(G76*$M$117/$L$117*10,2)</f>
        <v>192.38</v>
      </c>
      <c r="N76" s="1" t="n">
        <f aca="false">ROUND(H76*$M$117/$L$117*10,2)</f>
        <v>590.36</v>
      </c>
      <c r="O76" s="1" t="n">
        <f aca="false">ROUND(I76*$M$117/$L$117*10,2)</f>
        <v>594.52</v>
      </c>
    </row>
    <row r="77" customFormat="false" ht="12.8" hidden="false" customHeight="false" outlineLevel="0" collapsed="false">
      <c r="A77" s="1" t="n">
        <v>8</v>
      </c>
      <c r="B77" s="1" t="s">
        <v>192</v>
      </c>
      <c r="C77" s="1" t="s">
        <v>178</v>
      </c>
      <c r="D77" s="1" t="s">
        <v>193</v>
      </c>
      <c r="E77" s="1" t="s">
        <v>193</v>
      </c>
      <c r="F77" s="1" t="n">
        <v>0.63</v>
      </c>
      <c r="G77" s="1" t="n">
        <v>5.09</v>
      </c>
      <c r="H77" s="1" t="n">
        <v>0.3</v>
      </c>
      <c r="I77" s="1" t="n">
        <v>16.37</v>
      </c>
      <c r="L77" s="1" t="n">
        <f aca="false">ROUND(F77*$M$117/$L$117*10,2)</f>
        <v>23.81</v>
      </c>
      <c r="M77" s="1" t="n">
        <f aca="false">ROUND(G77*$M$117/$L$117*10,2)</f>
        <v>192.38</v>
      </c>
      <c r="N77" s="1" t="n">
        <f aca="false">ROUND(H77*$M$117/$L$117*10,2)</f>
        <v>11.34</v>
      </c>
      <c r="O77" s="1" t="n">
        <f aca="false">ROUND(I77*$M$117/$L$117*10,2)</f>
        <v>618.71</v>
      </c>
    </row>
    <row r="78" customFormat="false" ht="12.8" hidden="false" customHeight="false" outlineLevel="0" collapsed="false">
      <c r="A78" s="1" t="n">
        <v>8</v>
      </c>
      <c r="B78" s="1" t="s">
        <v>194</v>
      </c>
      <c r="C78" s="1" t="s">
        <v>178</v>
      </c>
      <c r="D78" s="1" t="s">
        <v>195</v>
      </c>
      <c r="E78" s="1" t="s">
        <v>195</v>
      </c>
      <c r="F78" s="1" t="n">
        <v>0.63</v>
      </c>
      <c r="G78" s="1" t="n">
        <v>5.09</v>
      </c>
      <c r="H78" s="1" t="n">
        <v>5.41</v>
      </c>
      <c r="I78" s="1" t="n">
        <v>16.37</v>
      </c>
      <c r="L78" s="1" t="n">
        <f aca="false">ROUND(F78*$M$117/$L$117*10,2)</f>
        <v>23.81</v>
      </c>
      <c r="M78" s="1" t="n">
        <f aca="false">ROUND(G78*$M$117/$L$117*10,2)</f>
        <v>192.38</v>
      </c>
      <c r="N78" s="1" t="n">
        <f aca="false">ROUND(H78*$M$117/$L$117*10,2)</f>
        <v>204.47</v>
      </c>
      <c r="O78" s="1" t="n">
        <f aca="false">ROUND(I78*$M$117/$L$117*10,2)</f>
        <v>618.71</v>
      </c>
    </row>
    <row r="79" customFormat="false" ht="12.8" hidden="false" customHeight="false" outlineLevel="0" collapsed="false">
      <c r="A79" s="1" t="n">
        <v>8</v>
      </c>
      <c r="B79" s="1" t="s">
        <v>196</v>
      </c>
      <c r="C79" s="1" t="s">
        <v>197</v>
      </c>
      <c r="D79" s="1" t="s">
        <v>198</v>
      </c>
      <c r="E79" s="1" t="s">
        <v>199</v>
      </c>
      <c r="F79" s="1" t="n">
        <v>0.63</v>
      </c>
      <c r="G79" s="1" t="n">
        <v>5.09</v>
      </c>
      <c r="H79" s="1" t="n">
        <v>10.51</v>
      </c>
      <c r="I79" s="1" t="n">
        <v>16.37</v>
      </c>
      <c r="L79" s="1" t="n">
        <f aca="false">ROUND(F79*$M$117/$L$117*10,2)</f>
        <v>23.81</v>
      </c>
      <c r="M79" s="1" t="n">
        <f aca="false">ROUND(G79*$M$117/$L$117*10,2)</f>
        <v>192.38</v>
      </c>
      <c r="N79" s="1" t="n">
        <f aca="false">ROUND(H79*$M$117/$L$117*10,2)</f>
        <v>397.23</v>
      </c>
      <c r="O79" s="1" t="n">
        <f aca="false">ROUND(I79*$M$117/$L$117*10,2)</f>
        <v>618.71</v>
      </c>
    </row>
    <row r="80" customFormat="false" ht="12.8" hidden="false" customHeight="false" outlineLevel="0" collapsed="false">
      <c r="A80" s="1" t="n">
        <v>8</v>
      </c>
      <c r="B80" s="1" t="s">
        <v>200</v>
      </c>
      <c r="C80" s="1" t="s">
        <v>178</v>
      </c>
      <c r="D80" s="1" t="s">
        <v>201</v>
      </c>
      <c r="E80" s="1" t="s">
        <v>201</v>
      </c>
      <c r="F80" s="1" t="n">
        <v>0.63</v>
      </c>
      <c r="G80" s="1" t="n">
        <v>5.09</v>
      </c>
      <c r="H80" s="1" t="n">
        <v>15.62</v>
      </c>
      <c r="I80" s="1" t="n">
        <v>16.37</v>
      </c>
      <c r="J80" s="1" t="n">
        <f aca="false">I80+F80</f>
        <v>17</v>
      </c>
      <c r="K80" s="1" t="n">
        <f aca="false">J80-J66</f>
        <v>2.57</v>
      </c>
      <c r="L80" s="1" t="n">
        <f aca="false">ROUND(F80*$M$117/$L$117*10,2)</f>
        <v>23.81</v>
      </c>
      <c r="M80" s="1" t="n">
        <f aca="false">ROUND(G80*$M$117/$L$117*10,2)</f>
        <v>192.38</v>
      </c>
      <c r="N80" s="1" t="n">
        <f aca="false">ROUND(H80*$M$117/$L$117*10,2)</f>
        <v>590.36</v>
      </c>
      <c r="O80" s="1" t="n">
        <f aca="false">ROUND(I80*$M$117/$L$117*10,2)</f>
        <v>618.71</v>
      </c>
    </row>
    <row r="81" customFormat="false" ht="12.8" hidden="false" customHeight="false" outlineLevel="0" collapsed="false">
      <c r="A81" s="1" t="n">
        <v>9</v>
      </c>
      <c r="B81" s="1" t="s">
        <v>202</v>
      </c>
      <c r="E81" s="1" t="s">
        <v>203</v>
      </c>
      <c r="F81" s="1" t="n">
        <v>0.63</v>
      </c>
      <c r="G81" s="1" t="n">
        <v>5.09</v>
      </c>
      <c r="H81" s="1" t="n">
        <v>0.3</v>
      </c>
      <c r="I81" s="1" t="n">
        <v>17.02</v>
      </c>
      <c r="J81" s="1" t="n">
        <f aca="false">I81</f>
        <v>17.02</v>
      </c>
      <c r="L81" s="1" t="n">
        <f aca="false">ROUND(F81*$M$117/$L$117*10,2)</f>
        <v>23.81</v>
      </c>
      <c r="M81" s="1" t="n">
        <f aca="false">ROUND(G81*$M$117/$L$117*10,2)</f>
        <v>192.38</v>
      </c>
      <c r="N81" s="1" t="n">
        <f aca="false">ROUND(H81*$M$117/$L$117*10,2)</f>
        <v>11.34</v>
      </c>
      <c r="O81" s="1" t="n">
        <f aca="false">ROUND(I81*$M$117/$L$117*10,2)</f>
        <v>643.28</v>
      </c>
    </row>
    <row r="82" customFormat="false" ht="12.8" hidden="false" customHeight="false" outlineLevel="0" collapsed="false">
      <c r="A82" s="1" t="n">
        <v>9</v>
      </c>
      <c r="B82" s="1" t="s">
        <v>204</v>
      </c>
      <c r="C82" s="1" t="s">
        <v>205</v>
      </c>
      <c r="D82" s="1" t="s">
        <v>206</v>
      </c>
      <c r="E82" s="1" t="s">
        <v>206</v>
      </c>
      <c r="F82" s="1" t="n">
        <v>0.63</v>
      </c>
      <c r="G82" s="1" t="n">
        <v>5.09</v>
      </c>
      <c r="H82" s="1" t="n">
        <v>5.41</v>
      </c>
      <c r="I82" s="1" t="n">
        <v>17.02</v>
      </c>
      <c r="L82" s="1" t="n">
        <f aca="false">ROUND(F82*$M$117/$L$117*10,2)</f>
        <v>23.81</v>
      </c>
      <c r="M82" s="1" t="n">
        <f aca="false">ROUND(G82*$M$117/$L$117*10,2)</f>
        <v>192.38</v>
      </c>
      <c r="N82" s="1" t="n">
        <f aca="false">ROUND(H82*$M$117/$L$117*10,2)</f>
        <v>204.47</v>
      </c>
      <c r="O82" s="1" t="n">
        <f aca="false">ROUND(I82*$M$117/$L$117*10,2)</f>
        <v>643.28</v>
      </c>
    </row>
    <row r="83" customFormat="false" ht="12.8" hidden="false" customHeight="false" outlineLevel="0" collapsed="false">
      <c r="A83" s="1" t="n">
        <v>9</v>
      </c>
      <c r="B83" s="1" t="s">
        <v>207</v>
      </c>
      <c r="C83" s="1" t="s">
        <v>205</v>
      </c>
      <c r="D83" s="1" t="s">
        <v>208</v>
      </c>
      <c r="E83" s="1" t="s">
        <v>208</v>
      </c>
      <c r="F83" s="1" t="n">
        <v>0.63</v>
      </c>
      <c r="G83" s="1" t="n">
        <v>5.09</v>
      </c>
      <c r="H83" s="1" t="n">
        <v>10.51</v>
      </c>
      <c r="I83" s="1" t="n">
        <v>17.02</v>
      </c>
      <c r="L83" s="1" t="n">
        <f aca="false">ROUND(F83*$M$117/$L$117*10,2)</f>
        <v>23.81</v>
      </c>
      <c r="M83" s="1" t="n">
        <f aca="false">ROUND(G83*$M$117/$L$117*10,2)</f>
        <v>192.38</v>
      </c>
      <c r="N83" s="1" t="n">
        <f aca="false">ROUND(H83*$M$117/$L$117*10,2)</f>
        <v>397.23</v>
      </c>
      <c r="O83" s="1" t="n">
        <f aca="false">ROUND(I83*$M$117/$L$117*10,2)</f>
        <v>643.28</v>
      </c>
    </row>
    <row r="84" customFormat="false" ht="12.8" hidden="false" customHeight="false" outlineLevel="0" collapsed="false">
      <c r="A84" s="1" t="n">
        <v>9</v>
      </c>
      <c r="B84" s="1" t="s">
        <v>209</v>
      </c>
      <c r="C84" s="1" t="s">
        <v>205</v>
      </c>
      <c r="D84" s="1" t="s">
        <v>210</v>
      </c>
      <c r="E84" s="1" t="s">
        <v>210</v>
      </c>
      <c r="F84" s="1" t="n">
        <v>0.63</v>
      </c>
      <c r="G84" s="1" t="n">
        <v>5.09</v>
      </c>
      <c r="H84" s="1" t="n">
        <v>15.62</v>
      </c>
      <c r="I84" s="1" t="n">
        <v>17.02</v>
      </c>
      <c r="L84" s="1" t="n">
        <f aca="false">ROUND(F84*$M$117/$L$117*10,2)</f>
        <v>23.81</v>
      </c>
      <c r="M84" s="1" t="n">
        <f aca="false">ROUND(G84*$M$117/$L$117*10,2)</f>
        <v>192.38</v>
      </c>
      <c r="N84" s="1" t="n">
        <f aca="false">ROUND(H84*$M$117/$L$117*10,2)</f>
        <v>590.36</v>
      </c>
      <c r="O84" s="1" t="n">
        <f aca="false">ROUND(I84*$M$117/$L$117*10,2)</f>
        <v>643.28</v>
      </c>
    </row>
    <row r="85" customFormat="false" ht="12.8" hidden="false" customHeight="false" outlineLevel="0" collapsed="false">
      <c r="A85" s="1" t="n">
        <v>9</v>
      </c>
      <c r="B85" s="1" t="s">
        <v>211</v>
      </c>
      <c r="C85" s="1" t="s">
        <v>212</v>
      </c>
      <c r="D85" s="1" t="s">
        <v>213</v>
      </c>
      <c r="E85" s="1" t="s">
        <v>213</v>
      </c>
      <c r="F85" s="1" t="n">
        <v>0.63</v>
      </c>
      <c r="G85" s="1" t="n">
        <v>5.09</v>
      </c>
      <c r="H85" s="1" t="n">
        <v>0.3</v>
      </c>
      <c r="I85" s="1" t="n">
        <v>17.67</v>
      </c>
      <c r="L85" s="1" t="n">
        <f aca="false">ROUND(F85*$M$117/$L$117*10,2)</f>
        <v>23.81</v>
      </c>
      <c r="M85" s="1" t="n">
        <f aca="false">ROUND(G85*$M$117/$L$117*10,2)</f>
        <v>192.38</v>
      </c>
      <c r="N85" s="1" t="n">
        <f aca="false">ROUND(H85*$M$117/$L$117*10,2)</f>
        <v>11.34</v>
      </c>
      <c r="O85" s="1" t="n">
        <f aca="false">ROUND(I85*$M$117/$L$117*10,2)</f>
        <v>667.84</v>
      </c>
    </row>
    <row r="86" customFormat="false" ht="12.8" hidden="false" customHeight="false" outlineLevel="0" collapsed="false">
      <c r="A86" s="1" t="n">
        <v>9</v>
      </c>
      <c r="B86" s="1" t="s">
        <v>214</v>
      </c>
      <c r="C86" s="1" t="s">
        <v>212</v>
      </c>
      <c r="D86" s="1" t="s">
        <v>215</v>
      </c>
      <c r="E86" s="1" t="s">
        <v>215</v>
      </c>
      <c r="F86" s="1" t="n">
        <v>0.63</v>
      </c>
      <c r="G86" s="1" t="n">
        <v>5.09</v>
      </c>
      <c r="H86" s="1" t="n">
        <v>5.41</v>
      </c>
      <c r="I86" s="1" t="n">
        <v>17.67</v>
      </c>
      <c r="L86" s="1" t="n">
        <f aca="false">ROUND(F86*$M$117/$L$117*10,2)</f>
        <v>23.81</v>
      </c>
      <c r="M86" s="1" t="n">
        <f aca="false">ROUND(G86*$M$117/$L$117*10,2)</f>
        <v>192.38</v>
      </c>
      <c r="N86" s="1" t="n">
        <f aca="false">ROUND(H86*$M$117/$L$117*10,2)</f>
        <v>204.47</v>
      </c>
      <c r="O86" s="1" t="n">
        <f aca="false">ROUND(I86*$M$117/$L$117*10,2)</f>
        <v>667.84</v>
      </c>
    </row>
    <row r="87" customFormat="false" ht="12.8" hidden="false" customHeight="false" outlineLevel="0" collapsed="false">
      <c r="A87" s="1" t="n">
        <v>9</v>
      </c>
      <c r="B87" s="1" t="s">
        <v>216</v>
      </c>
      <c r="C87" s="1" t="s">
        <v>217</v>
      </c>
      <c r="D87" s="1" t="s">
        <v>218</v>
      </c>
      <c r="E87" s="1" t="s">
        <v>219</v>
      </c>
      <c r="F87" s="1" t="n">
        <v>0.63</v>
      </c>
      <c r="G87" s="1" t="n">
        <v>10.19</v>
      </c>
      <c r="H87" s="1" t="n">
        <v>10.51</v>
      </c>
      <c r="I87" s="1" t="n">
        <v>17.67</v>
      </c>
      <c r="J87" s="1" t="n">
        <f aca="false">I87+F87</f>
        <v>18.3</v>
      </c>
      <c r="K87" s="1" t="n">
        <f aca="false">J87-J81</f>
        <v>1.28</v>
      </c>
      <c r="L87" s="1" t="n">
        <f aca="false">ROUND(F87*$M$117/$L$117*10,2)</f>
        <v>23.81</v>
      </c>
      <c r="M87" s="1" t="n">
        <f aca="false">ROUND(G87*$M$117/$L$117*10,2)</f>
        <v>385.13</v>
      </c>
      <c r="N87" s="1" t="n">
        <f aca="false">ROUND(H87*$M$117/$L$117*10,2)</f>
        <v>397.23</v>
      </c>
      <c r="O87" s="1" t="n">
        <f aca="false">ROUND(I87*$M$117/$L$117*10,2)</f>
        <v>667.84</v>
      </c>
    </row>
    <row r="88" customFormat="false" ht="12.8" hidden="false" customHeight="false" outlineLevel="0" collapsed="false">
      <c r="A88" s="1" t="n">
        <v>10</v>
      </c>
      <c r="B88" s="1" t="s">
        <v>220</v>
      </c>
      <c r="E88" s="1" t="s">
        <v>221</v>
      </c>
      <c r="F88" s="1" t="n">
        <v>0.63</v>
      </c>
      <c r="G88" s="1" t="n">
        <v>5.09</v>
      </c>
      <c r="H88" s="1" t="n">
        <v>0.3</v>
      </c>
      <c r="I88" s="1" t="n">
        <v>18.32</v>
      </c>
      <c r="J88" s="1" t="n">
        <f aca="false">I88</f>
        <v>18.32</v>
      </c>
      <c r="L88" s="1" t="n">
        <f aca="false">ROUND(F88*$M$117/$L$117*10,2)</f>
        <v>23.81</v>
      </c>
      <c r="M88" s="1" t="n">
        <f aca="false">ROUND(G88*$M$117/$L$117*10,2)</f>
        <v>192.38</v>
      </c>
      <c r="N88" s="1" t="n">
        <f aca="false">ROUND(H88*$M$117/$L$117*10,2)</f>
        <v>11.34</v>
      </c>
      <c r="O88" s="1" t="n">
        <f aca="false">ROUND(I88*$M$117/$L$117*10,2)</f>
        <v>692.41</v>
      </c>
    </row>
    <row r="89" customFormat="false" ht="12.8" hidden="false" customHeight="false" outlineLevel="0" collapsed="false">
      <c r="A89" s="1" t="n">
        <v>10</v>
      </c>
      <c r="B89" s="1" t="s">
        <v>222</v>
      </c>
      <c r="C89" s="1" t="s">
        <v>223</v>
      </c>
      <c r="D89" s="1" t="s">
        <v>224</v>
      </c>
      <c r="E89" s="1" t="s">
        <v>225</v>
      </c>
      <c r="F89" s="1" t="n">
        <v>0.63</v>
      </c>
      <c r="G89" s="1" t="n">
        <v>5.09</v>
      </c>
      <c r="H89" s="1" t="n">
        <v>5.41</v>
      </c>
      <c r="I89" s="1" t="n">
        <v>18.32</v>
      </c>
      <c r="L89" s="1" t="n">
        <f aca="false">ROUND(F89*$M$117/$L$117*10,2)</f>
        <v>23.81</v>
      </c>
      <c r="M89" s="1" t="n">
        <f aca="false">ROUND(G89*$M$117/$L$117*10,2)</f>
        <v>192.38</v>
      </c>
      <c r="N89" s="1" t="n">
        <f aca="false">ROUND(H89*$M$117/$L$117*10,2)</f>
        <v>204.47</v>
      </c>
      <c r="O89" s="1" t="n">
        <f aca="false">ROUND(I89*$M$117/$L$117*10,2)</f>
        <v>692.41</v>
      </c>
    </row>
    <row r="90" customFormat="false" ht="12.8" hidden="false" customHeight="false" outlineLevel="0" collapsed="false">
      <c r="A90" s="1" t="n">
        <v>10</v>
      </c>
      <c r="B90" s="1" t="s">
        <v>226</v>
      </c>
      <c r="C90" s="1" t="s">
        <v>227</v>
      </c>
      <c r="D90" s="2" t="s">
        <v>228</v>
      </c>
      <c r="E90" s="1" t="s">
        <v>229</v>
      </c>
      <c r="F90" s="1" t="n">
        <v>0.63</v>
      </c>
      <c r="G90" s="1" t="n">
        <v>10.19</v>
      </c>
      <c r="H90" s="1" t="n">
        <v>10.51</v>
      </c>
      <c r="I90" s="1" t="n">
        <v>18.32</v>
      </c>
      <c r="L90" s="1" t="n">
        <f aca="false">ROUND(F90*$M$117/$L$117*10,2)</f>
        <v>23.81</v>
      </c>
      <c r="M90" s="1" t="n">
        <f aca="false">ROUND(G90*$M$117/$L$117*10,2)</f>
        <v>385.13</v>
      </c>
      <c r="N90" s="1" t="n">
        <f aca="false">ROUND(H90*$M$117/$L$117*10,2)</f>
        <v>397.23</v>
      </c>
      <c r="O90" s="1" t="n">
        <f aca="false">ROUND(I90*$M$117/$L$117*10,2)</f>
        <v>692.41</v>
      </c>
    </row>
    <row r="91" customFormat="false" ht="12.8" hidden="false" customHeight="false" outlineLevel="0" collapsed="false">
      <c r="A91" s="1" t="n">
        <v>10</v>
      </c>
      <c r="B91" s="1" t="s">
        <v>230</v>
      </c>
      <c r="C91" s="1" t="s">
        <v>231</v>
      </c>
      <c r="D91" s="2" t="s">
        <v>232</v>
      </c>
      <c r="E91" s="1" t="s">
        <v>233</v>
      </c>
      <c r="F91" s="1" t="n">
        <v>0.63</v>
      </c>
      <c r="G91" s="1" t="n">
        <v>5.09</v>
      </c>
      <c r="H91" s="1" t="n">
        <v>0.3</v>
      </c>
      <c r="I91" s="1" t="n">
        <v>18.96</v>
      </c>
      <c r="L91" s="1" t="n">
        <f aca="false">ROUND(F91*$M$117/$L$117*10,2)</f>
        <v>23.81</v>
      </c>
      <c r="M91" s="1" t="n">
        <f aca="false">ROUND(G91*$M$117/$L$117*10,2)</f>
        <v>192.38</v>
      </c>
      <c r="N91" s="1" t="n">
        <f aca="false">ROUND(H91*$M$117/$L$117*10,2)</f>
        <v>11.34</v>
      </c>
      <c r="O91" s="1" t="n">
        <f aca="false">ROUND(I91*$M$117/$L$117*10,2)</f>
        <v>716.6</v>
      </c>
    </row>
    <row r="92" customFormat="false" ht="12.8" hidden="false" customHeight="false" outlineLevel="0" collapsed="false">
      <c r="A92" s="1" t="n">
        <v>10</v>
      </c>
      <c r="B92" s="1" t="s">
        <v>234</v>
      </c>
      <c r="C92" s="1" t="s">
        <v>235</v>
      </c>
      <c r="D92" s="1" t="s">
        <v>193</v>
      </c>
      <c r="E92" s="1" t="s">
        <v>193</v>
      </c>
      <c r="F92" s="1" t="n">
        <v>0.63</v>
      </c>
      <c r="G92" s="1" t="n">
        <v>5.09</v>
      </c>
      <c r="H92" s="1" t="n">
        <v>5.41</v>
      </c>
      <c r="I92" s="1" t="n">
        <v>18.96</v>
      </c>
      <c r="L92" s="1" t="n">
        <f aca="false">ROUND(F92*$M$117/$L$117*10,2)</f>
        <v>23.81</v>
      </c>
      <c r="M92" s="1" t="n">
        <f aca="false">ROUND(G92*$M$117/$L$117*10,2)</f>
        <v>192.38</v>
      </c>
      <c r="N92" s="1" t="n">
        <f aca="false">ROUND(H92*$M$117/$L$117*10,2)</f>
        <v>204.47</v>
      </c>
      <c r="O92" s="1" t="n">
        <f aca="false">ROUND(I92*$M$117/$L$117*10,2)</f>
        <v>716.6</v>
      </c>
    </row>
    <row r="93" customFormat="false" ht="12.8" hidden="false" customHeight="false" outlineLevel="0" collapsed="false">
      <c r="A93" s="1" t="n">
        <v>10</v>
      </c>
      <c r="B93" s="1" t="s">
        <v>236</v>
      </c>
      <c r="C93" s="1" t="s">
        <v>237</v>
      </c>
      <c r="D93" s="1" t="s">
        <v>238</v>
      </c>
      <c r="E93" s="1" t="s">
        <v>239</v>
      </c>
      <c r="F93" s="1" t="n">
        <v>0.63</v>
      </c>
      <c r="G93" s="1" t="n">
        <v>5.09</v>
      </c>
      <c r="H93" s="1" t="n">
        <v>10.51</v>
      </c>
      <c r="I93" s="1" t="n">
        <v>18.96</v>
      </c>
      <c r="L93" s="1" t="n">
        <f aca="false">ROUND(F93*$M$117/$L$117*10,2)</f>
        <v>23.81</v>
      </c>
      <c r="M93" s="1" t="n">
        <f aca="false">ROUND(G93*$M$117/$L$117*10,2)</f>
        <v>192.38</v>
      </c>
      <c r="N93" s="1" t="n">
        <f aca="false">ROUND(H93*$M$117/$L$117*10,2)</f>
        <v>397.23</v>
      </c>
      <c r="O93" s="1" t="n">
        <f aca="false">ROUND(I93*$M$117/$L$117*10,2)</f>
        <v>716.6</v>
      </c>
    </row>
    <row r="94" customFormat="false" ht="12.8" hidden="false" customHeight="false" outlineLevel="0" collapsed="false">
      <c r="A94" s="1" t="n">
        <v>10</v>
      </c>
      <c r="B94" s="1" t="s">
        <v>240</v>
      </c>
      <c r="C94" s="1" t="s">
        <v>241</v>
      </c>
      <c r="D94" s="2" t="s">
        <v>242</v>
      </c>
      <c r="E94" s="1" t="s">
        <v>243</v>
      </c>
      <c r="F94" s="1" t="n">
        <v>0.63</v>
      </c>
      <c r="G94" s="1" t="n">
        <v>5.09</v>
      </c>
      <c r="H94" s="1" t="n">
        <v>15.62</v>
      </c>
      <c r="I94" s="1" t="n">
        <v>18.96</v>
      </c>
      <c r="L94" s="1" t="n">
        <f aca="false">ROUND(F94*$M$117/$L$117*10,2)</f>
        <v>23.81</v>
      </c>
      <c r="M94" s="1" t="n">
        <f aca="false">ROUND(G94*$M$117/$L$117*10,2)</f>
        <v>192.38</v>
      </c>
      <c r="N94" s="1" t="n">
        <f aca="false">ROUND(H94*$M$117/$L$117*10,2)</f>
        <v>590.36</v>
      </c>
      <c r="O94" s="1" t="n">
        <f aca="false">ROUND(I94*$M$117/$L$117*10,2)</f>
        <v>716.6</v>
      </c>
    </row>
    <row r="95" customFormat="false" ht="12.8" hidden="false" customHeight="false" outlineLevel="0" collapsed="false">
      <c r="A95" s="1" t="n">
        <v>10</v>
      </c>
      <c r="B95" s="1" t="s">
        <v>244</v>
      </c>
      <c r="C95" s="1" t="s">
        <v>245</v>
      </c>
      <c r="D95" s="1" t="s">
        <v>246</v>
      </c>
      <c r="E95" s="1" t="s">
        <v>246</v>
      </c>
      <c r="F95" s="1" t="n">
        <v>0.63</v>
      </c>
      <c r="G95" s="1" t="n">
        <v>5.09</v>
      </c>
      <c r="H95" s="1" t="n">
        <v>0.3</v>
      </c>
      <c r="I95" s="1" t="n">
        <v>19.61</v>
      </c>
      <c r="L95" s="1" t="n">
        <f aca="false">ROUND(F95*$M$117/$L$117*10,2)</f>
        <v>23.81</v>
      </c>
      <c r="M95" s="1" t="n">
        <f aca="false">ROUND(G95*$M$117/$L$117*10,2)</f>
        <v>192.38</v>
      </c>
      <c r="N95" s="1" t="n">
        <f aca="false">ROUND(H95*$M$117/$L$117*10,2)</f>
        <v>11.34</v>
      </c>
      <c r="O95" s="1" t="n">
        <f aca="false">ROUND(I95*$M$117/$L$117*10,2)</f>
        <v>741.17</v>
      </c>
    </row>
    <row r="96" customFormat="false" ht="12.8" hidden="false" customHeight="false" outlineLevel="0" collapsed="false">
      <c r="A96" s="1" t="n">
        <v>10</v>
      </c>
      <c r="B96" s="1" t="s">
        <v>247</v>
      </c>
      <c r="C96" s="1" t="s">
        <v>248</v>
      </c>
      <c r="D96" s="1" t="s">
        <v>249</v>
      </c>
      <c r="E96" s="1" t="s">
        <v>249</v>
      </c>
      <c r="F96" s="1" t="n">
        <v>0.63</v>
      </c>
      <c r="G96" s="1" t="n">
        <v>5.09</v>
      </c>
      <c r="H96" s="1" t="n">
        <v>5.41</v>
      </c>
      <c r="I96" s="1" t="n">
        <v>19.61</v>
      </c>
      <c r="L96" s="1" t="n">
        <f aca="false">ROUND(F96*$M$117/$L$117*10,2)</f>
        <v>23.81</v>
      </c>
      <c r="M96" s="1" t="n">
        <f aca="false">ROUND(G96*$M$117/$L$117*10,2)</f>
        <v>192.38</v>
      </c>
      <c r="N96" s="1" t="n">
        <f aca="false">ROUND(H96*$M$117/$L$117*10,2)</f>
        <v>204.47</v>
      </c>
      <c r="O96" s="1" t="n">
        <f aca="false">ROUND(I96*$M$117/$L$117*10,2)</f>
        <v>741.17</v>
      </c>
    </row>
    <row r="97" customFormat="false" ht="12.8" hidden="false" customHeight="false" outlineLevel="0" collapsed="false">
      <c r="A97" s="1" t="n">
        <v>10</v>
      </c>
      <c r="B97" s="1" t="s">
        <v>250</v>
      </c>
      <c r="C97" s="1" t="s">
        <v>251</v>
      </c>
      <c r="D97" s="1" t="s">
        <v>252</v>
      </c>
      <c r="E97" s="1" t="s">
        <v>252</v>
      </c>
      <c r="F97" s="1" t="n">
        <v>0.63</v>
      </c>
      <c r="G97" s="1" t="n">
        <v>5.09</v>
      </c>
      <c r="H97" s="1" t="n">
        <v>10.51</v>
      </c>
      <c r="I97" s="1" t="n">
        <v>19.61</v>
      </c>
      <c r="L97" s="1" t="n">
        <f aca="false">ROUND(F97*$M$117/$L$117*10,2)</f>
        <v>23.81</v>
      </c>
      <c r="M97" s="1" t="n">
        <f aca="false">ROUND(G97*$M$117/$L$117*10,2)</f>
        <v>192.38</v>
      </c>
      <c r="N97" s="1" t="n">
        <f aca="false">ROUND(H97*$M$117/$L$117*10,2)</f>
        <v>397.23</v>
      </c>
      <c r="O97" s="1" t="n">
        <f aca="false">ROUND(I97*$M$117/$L$117*10,2)</f>
        <v>741.17</v>
      </c>
    </row>
    <row r="98" customFormat="false" ht="12.8" hidden="false" customHeight="false" outlineLevel="0" collapsed="false">
      <c r="A98" s="1" t="n">
        <v>10</v>
      </c>
      <c r="B98" s="1" t="s">
        <v>253</v>
      </c>
      <c r="C98" s="1" t="s">
        <v>254</v>
      </c>
      <c r="D98" s="1" t="s">
        <v>255</v>
      </c>
      <c r="E98" s="1" t="s">
        <v>255</v>
      </c>
      <c r="F98" s="1" t="n">
        <v>0.63</v>
      </c>
      <c r="G98" s="1" t="n">
        <v>5.09</v>
      </c>
      <c r="H98" s="1" t="n">
        <v>15.62</v>
      </c>
      <c r="I98" s="1" t="n">
        <v>19.61</v>
      </c>
      <c r="L98" s="1" t="n">
        <f aca="false">ROUND(F98*$M$117/$L$117*10,2)</f>
        <v>23.81</v>
      </c>
      <c r="M98" s="1" t="n">
        <f aca="false">ROUND(G98*$M$117/$L$117*10,2)</f>
        <v>192.38</v>
      </c>
      <c r="N98" s="1" t="n">
        <f aca="false">ROUND(H98*$M$117/$L$117*10,2)</f>
        <v>590.36</v>
      </c>
      <c r="O98" s="1" t="n">
        <f aca="false">ROUND(I98*$M$117/$L$117*10,2)</f>
        <v>741.17</v>
      </c>
    </row>
    <row r="99" customFormat="false" ht="12.8" hidden="false" customHeight="false" outlineLevel="0" collapsed="false">
      <c r="A99" s="1" t="n">
        <v>10</v>
      </c>
      <c r="B99" s="1" t="s">
        <v>256</v>
      </c>
      <c r="C99" s="1" t="s">
        <v>257</v>
      </c>
      <c r="D99" s="1" t="s">
        <v>258</v>
      </c>
      <c r="E99" s="1" t="s">
        <v>258</v>
      </c>
      <c r="F99" s="1" t="n">
        <v>0.63</v>
      </c>
      <c r="G99" s="1" t="n">
        <v>5.09</v>
      </c>
      <c r="H99" s="1" t="n">
        <v>0.3</v>
      </c>
      <c r="I99" s="1" t="n">
        <v>20.26</v>
      </c>
      <c r="L99" s="1" t="n">
        <f aca="false">ROUND(F99*$M$117/$L$117*10,2)</f>
        <v>23.81</v>
      </c>
      <c r="M99" s="1" t="n">
        <f aca="false">ROUND(G99*$M$117/$L$117*10,2)</f>
        <v>192.38</v>
      </c>
      <c r="N99" s="1" t="n">
        <f aca="false">ROUND(H99*$M$117/$L$117*10,2)</f>
        <v>11.34</v>
      </c>
      <c r="O99" s="1" t="n">
        <f aca="false">ROUND(I99*$M$117/$L$117*10,2)</f>
        <v>765.73</v>
      </c>
    </row>
    <row r="100" customFormat="false" ht="12.8" hidden="false" customHeight="false" outlineLevel="0" collapsed="false">
      <c r="A100" s="1" t="n">
        <v>10</v>
      </c>
      <c r="B100" s="1" t="s">
        <v>259</v>
      </c>
      <c r="C100" s="1" t="s">
        <v>260</v>
      </c>
      <c r="D100" s="1" t="s">
        <v>261</v>
      </c>
      <c r="E100" s="1" t="s">
        <v>261</v>
      </c>
      <c r="F100" s="1" t="n">
        <v>0.63</v>
      </c>
      <c r="G100" s="1" t="n">
        <v>5.09</v>
      </c>
      <c r="H100" s="1" t="n">
        <v>5.41</v>
      </c>
      <c r="I100" s="1" t="n">
        <v>20.26</v>
      </c>
      <c r="L100" s="1" t="n">
        <f aca="false">ROUND(F100*$M$117/$L$117*10,2)</f>
        <v>23.81</v>
      </c>
      <c r="M100" s="1" t="n">
        <f aca="false">ROUND(G100*$M$117/$L$117*10,2)</f>
        <v>192.38</v>
      </c>
      <c r="N100" s="1" t="n">
        <f aca="false">ROUND(H100*$M$117/$L$117*10,2)</f>
        <v>204.47</v>
      </c>
      <c r="O100" s="1" t="n">
        <f aca="false">ROUND(I100*$M$117/$L$117*10,2)</f>
        <v>765.73</v>
      </c>
    </row>
    <row r="101" customFormat="false" ht="12.8" hidden="false" customHeight="false" outlineLevel="0" collapsed="false">
      <c r="A101" s="1" t="n">
        <v>10</v>
      </c>
      <c r="B101" s="1" t="s">
        <v>262</v>
      </c>
      <c r="C101" s="1" t="s">
        <v>260</v>
      </c>
      <c r="D101" s="1" t="s">
        <v>263</v>
      </c>
      <c r="E101" s="1" t="s">
        <v>263</v>
      </c>
      <c r="F101" s="1" t="n">
        <v>0.63</v>
      </c>
      <c r="G101" s="1" t="n">
        <v>5.09</v>
      </c>
      <c r="H101" s="1" t="n">
        <v>10.51</v>
      </c>
      <c r="I101" s="1" t="n">
        <v>20.26</v>
      </c>
      <c r="L101" s="1" t="n">
        <f aca="false">ROUND(F101*$M$117/$L$117*10,2)</f>
        <v>23.81</v>
      </c>
      <c r="M101" s="1" t="n">
        <f aca="false">ROUND(G101*$M$117/$L$117*10,2)</f>
        <v>192.38</v>
      </c>
      <c r="N101" s="1" t="n">
        <f aca="false">ROUND(H101*$M$117/$L$117*10,2)</f>
        <v>397.23</v>
      </c>
      <c r="O101" s="1" t="n">
        <f aca="false">ROUND(I101*$M$117/$L$117*10,2)</f>
        <v>765.73</v>
      </c>
    </row>
    <row r="102" customFormat="false" ht="12.8" hidden="false" customHeight="false" outlineLevel="0" collapsed="false">
      <c r="A102" s="1" t="n">
        <v>10</v>
      </c>
      <c r="B102" s="1" t="s">
        <v>264</v>
      </c>
      <c r="C102" s="1" t="s">
        <v>265</v>
      </c>
      <c r="D102" s="1" t="s">
        <v>266</v>
      </c>
      <c r="E102" s="1" t="s">
        <v>266</v>
      </c>
      <c r="F102" s="1" t="n">
        <v>0.63</v>
      </c>
      <c r="G102" s="1" t="n">
        <v>5.09</v>
      </c>
      <c r="H102" s="1" t="n">
        <v>15.62</v>
      </c>
      <c r="I102" s="1" t="n">
        <v>20.26</v>
      </c>
      <c r="J102" s="1" t="n">
        <f aca="false">I102+F102</f>
        <v>20.89</v>
      </c>
      <c r="K102" s="1" t="n">
        <f aca="false">J102-J88</f>
        <v>2.57</v>
      </c>
      <c r="L102" s="1" t="n">
        <f aca="false">ROUND(F102*$M$117/$L$117*10,2)</f>
        <v>23.81</v>
      </c>
      <c r="M102" s="1" t="n">
        <f aca="false">ROUND(G102*$M$117/$L$117*10,2)</f>
        <v>192.38</v>
      </c>
      <c r="N102" s="1" t="n">
        <f aca="false">ROUND(H102*$M$117/$L$117*10,2)</f>
        <v>590.36</v>
      </c>
      <c r="O102" s="1" t="n">
        <f aca="false">ROUND(I102*$M$117/$L$117*10,2)</f>
        <v>765.73</v>
      </c>
    </row>
    <row r="103" customFormat="false" ht="12.8" hidden="false" customHeight="false" outlineLevel="0" collapsed="false">
      <c r="A103" s="1" t="n">
        <v>11</v>
      </c>
      <c r="B103" s="1" t="s">
        <v>267</v>
      </c>
      <c r="E103" s="1" t="s">
        <v>268</v>
      </c>
      <c r="F103" s="1" t="n">
        <v>0.67</v>
      </c>
      <c r="G103" s="1" t="n">
        <v>5.09</v>
      </c>
      <c r="H103" s="1" t="n">
        <v>0.3</v>
      </c>
      <c r="I103" s="1" t="n">
        <v>20.9</v>
      </c>
      <c r="J103" s="1" t="n">
        <f aca="false">I103</f>
        <v>20.9</v>
      </c>
      <c r="L103" s="1" t="n">
        <f aca="false">ROUND(F103*$M$117/$L$117*10,2)</f>
        <v>25.32</v>
      </c>
      <c r="M103" s="1" t="n">
        <f aca="false">ROUND(G103*$M$117/$L$117*10,2)</f>
        <v>192.38</v>
      </c>
      <c r="N103" s="1" t="n">
        <f aca="false">ROUND(H103*$M$117/$L$117*10,2)</f>
        <v>11.34</v>
      </c>
      <c r="O103" s="1" t="n">
        <f aca="false">ROUND(I103*$M$117/$L$117*10,2)</f>
        <v>789.92</v>
      </c>
    </row>
    <row r="104" customFormat="false" ht="12.8" hidden="false" customHeight="false" outlineLevel="0" collapsed="false">
      <c r="A104" s="1" t="n">
        <v>11</v>
      </c>
      <c r="B104" s="1" t="s">
        <v>269</v>
      </c>
      <c r="C104" s="1" t="s">
        <v>270</v>
      </c>
      <c r="D104" s="1" t="s">
        <v>271</v>
      </c>
      <c r="E104" s="1" t="s">
        <v>271</v>
      </c>
      <c r="F104" s="1" t="n">
        <v>0.67</v>
      </c>
      <c r="G104" s="1" t="n">
        <v>5.09</v>
      </c>
      <c r="H104" s="1" t="n">
        <v>5.41</v>
      </c>
      <c r="I104" s="1" t="n">
        <v>20.9</v>
      </c>
      <c r="L104" s="1" t="n">
        <f aca="false">ROUND(F104*$M$117/$L$117*10,2)</f>
        <v>25.32</v>
      </c>
      <c r="M104" s="1" t="n">
        <f aca="false">ROUND(G104*$M$117/$L$117*10,2)</f>
        <v>192.38</v>
      </c>
      <c r="N104" s="1" t="n">
        <f aca="false">ROUND(H104*$M$117/$L$117*10,2)</f>
        <v>204.47</v>
      </c>
      <c r="O104" s="1" t="n">
        <f aca="false">ROUND(I104*$M$117/$L$117*10,2)</f>
        <v>789.92</v>
      </c>
    </row>
    <row r="105" customFormat="false" ht="12.8" hidden="false" customHeight="false" outlineLevel="0" collapsed="false">
      <c r="A105" s="1" t="n">
        <v>11</v>
      </c>
      <c r="B105" s="1" t="s">
        <v>189</v>
      </c>
      <c r="C105" s="1" t="s">
        <v>190</v>
      </c>
      <c r="D105" s="1" t="s">
        <v>191</v>
      </c>
      <c r="E105" s="1" t="s">
        <v>191</v>
      </c>
      <c r="F105" s="1" t="n">
        <v>0.67</v>
      </c>
      <c r="G105" s="1" t="n">
        <v>5.09</v>
      </c>
      <c r="H105" s="1" t="n">
        <v>10.51</v>
      </c>
      <c r="I105" s="1" t="n">
        <v>20.9</v>
      </c>
      <c r="L105" s="1" t="n">
        <f aca="false">ROUND(F105*$M$117/$L$117*10,2)</f>
        <v>25.32</v>
      </c>
      <c r="M105" s="1" t="n">
        <f aca="false">ROUND(G105*$M$117/$L$117*10,2)</f>
        <v>192.38</v>
      </c>
      <c r="N105" s="1" t="n">
        <f aca="false">ROUND(H105*$M$117/$L$117*10,2)</f>
        <v>397.23</v>
      </c>
      <c r="O105" s="1" t="n">
        <f aca="false">ROUND(I105*$M$117/$L$117*10,2)</f>
        <v>789.92</v>
      </c>
    </row>
    <row r="106" customFormat="false" ht="12.8" hidden="false" customHeight="false" outlineLevel="0" collapsed="false">
      <c r="A106" s="1" t="n">
        <v>11</v>
      </c>
      <c r="B106" s="1" t="s">
        <v>272</v>
      </c>
      <c r="C106" s="1" t="s">
        <v>190</v>
      </c>
      <c r="D106" s="1" t="s">
        <v>273</v>
      </c>
      <c r="E106" s="1" t="s">
        <v>273</v>
      </c>
      <c r="F106" s="1" t="n">
        <v>0.67</v>
      </c>
      <c r="G106" s="1" t="n">
        <v>5.09</v>
      </c>
      <c r="H106" s="1" t="n">
        <v>15.62</v>
      </c>
      <c r="I106" s="1" t="n">
        <v>20.9</v>
      </c>
      <c r="L106" s="1" t="n">
        <f aca="false">ROUND(F106*$M$117/$L$117*10,2)</f>
        <v>25.32</v>
      </c>
      <c r="M106" s="1" t="n">
        <f aca="false">ROUND(G106*$M$117/$L$117*10,2)</f>
        <v>192.38</v>
      </c>
      <c r="N106" s="1" t="n">
        <f aca="false">ROUND(H106*$M$117/$L$117*10,2)</f>
        <v>590.36</v>
      </c>
      <c r="O106" s="1" t="n">
        <f aca="false">ROUND(I106*$M$117/$L$117*10,2)</f>
        <v>789.92</v>
      </c>
    </row>
    <row r="107" customFormat="false" ht="12.8" hidden="false" customHeight="false" outlineLevel="0" collapsed="false">
      <c r="A107" s="1" t="n">
        <v>11</v>
      </c>
      <c r="B107" s="1" t="s">
        <v>274</v>
      </c>
      <c r="C107" s="1" t="s">
        <v>275</v>
      </c>
      <c r="D107" s="1" t="s">
        <v>276</v>
      </c>
      <c r="E107" s="1" t="s">
        <v>276</v>
      </c>
      <c r="F107" s="1" t="n">
        <v>0.67</v>
      </c>
      <c r="G107" s="1" t="n">
        <v>5.09</v>
      </c>
      <c r="H107" s="1" t="n">
        <v>0.3</v>
      </c>
      <c r="I107" s="1" t="n">
        <v>21.59</v>
      </c>
      <c r="L107" s="1" t="n">
        <f aca="false">ROUND(F107*$M$117/$L$117*10,2)</f>
        <v>25.32</v>
      </c>
      <c r="M107" s="1" t="n">
        <f aca="false">ROUND(G107*$M$117/$L$117*10,2)</f>
        <v>192.38</v>
      </c>
      <c r="N107" s="1" t="n">
        <f aca="false">ROUND(H107*$M$117/$L$117*10,2)</f>
        <v>11.34</v>
      </c>
      <c r="O107" s="1" t="n">
        <f aca="false">ROUND(I107*$M$117/$L$117*10,2)</f>
        <v>816</v>
      </c>
    </row>
    <row r="108" customFormat="false" ht="12.8" hidden="false" customHeight="false" outlineLevel="0" collapsed="false">
      <c r="A108" s="1" t="n">
        <v>11</v>
      </c>
      <c r="B108" s="1" t="s">
        <v>277</v>
      </c>
      <c r="C108" s="1" t="s">
        <v>275</v>
      </c>
      <c r="D108" s="1" t="s">
        <v>278</v>
      </c>
      <c r="E108" s="1" t="s">
        <v>278</v>
      </c>
      <c r="F108" s="1" t="n">
        <v>0.67</v>
      </c>
      <c r="G108" s="1" t="n">
        <v>5.09</v>
      </c>
      <c r="H108" s="1" t="n">
        <v>5.41</v>
      </c>
      <c r="I108" s="1" t="n">
        <v>21.59</v>
      </c>
      <c r="L108" s="1" t="n">
        <f aca="false">ROUND(F108*$M$117/$L$117*10,2)</f>
        <v>25.32</v>
      </c>
      <c r="M108" s="1" t="n">
        <f aca="false">ROUND(G108*$M$117/$L$117*10,2)</f>
        <v>192.38</v>
      </c>
      <c r="N108" s="1" t="n">
        <f aca="false">ROUND(H108*$M$117/$L$117*10,2)</f>
        <v>204.47</v>
      </c>
      <c r="O108" s="1" t="n">
        <f aca="false">ROUND(I108*$M$117/$L$117*10,2)</f>
        <v>816</v>
      </c>
    </row>
    <row r="109" customFormat="false" ht="12.8" hidden="false" customHeight="false" outlineLevel="0" collapsed="false">
      <c r="A109" s="1" t="n">
        <v>11</v>
      </c>
      <c r="B109" s="1" t="s">
        <v>279</v>
      </c>
      <c r="C109" s="1" t="s">
        <v>280</v>
      </c>
      <c r="D109" s="1" t="s">
        <v>281</v>
      </c>
      <c r="E109" s="1" t="s">
        <v>282</v>
      </c>
      <c r="F109" s="1" t="n">
        <v>0.67</v>
      </c>
      <c r="G109" s="1" t="n">
        <v>5.09</v>
      </c>
      <c r="H109" s="1" t="n">
        <v>10.51</v>
      </c>
      <c r="I109" s="1" t="n">
        <v>21.59</v>
      </c>
      <c r="L109" s="1" t="n">
        <f aca="false">ROUND(F109*$M$117/$L$117*10,2)</f>
        <v>25.32</v>
      </c>
      <c r="M109" s="1" t="n">
        <f aca="false">ROUND(G109*$M$117/$L$117*10,2)</f>
        <v>192.38</v>
      </c>
      <c r="N109" s="1" t="n">
        <f aca="false">ROUND(H109*$M$117/$L$117*10,2)</f>
        <v>397.23</v>
      </c>
      <c r="O109" s="1" t="n">
        <f aca="false">ROUND(I109*$M$117/$L$117*10,2)</f>
        <v>816</v>
      </c>
    </row>
    <row r="110" customFormat="false" ht="12.8" hidden="false" customHeight="false" outlineLevel="0" collapsed="false">
      <c r="A110" s="1" t="n">
        <v>11</v>
      </c>
      <c r="B110" s="1" t="s">
        <v>283</v>
      </c>
      <c r="C110" s="1" t="s">
        <v>284</v>
      </c>
      <c r="D110" s="1" t="s">
        <v>285</v>
      </c>
      <c r="E110" s="1" t="s">
        <v>285</v>
      </c>
      <c r="F110" s="1" t="n">
        <v>0.67</v>
      </c>
      <c r="G110" s="1" t="n">
        <v>5.09</v>
      </c>
      <c r="H110" s="1" t="n">
        <v>15.62</v>
      </c>
      <c r="I110" s="1" t="n">
        <v>21.59</v>
      </c>
      <c r="J110" s="1" t="n">
        <f aca="false">I110+F110</f>
        <v>22.26</v>
      </c>
      <c r="K110" s="1" t="n">
        <f aca="false">J110-J103</f>
        <v>1.36</v>
      </c>
      <c r="L110" s="1" t="n">
        <f aca="false">ROUND(F110*$M$117/$L$117*10,2)</f>
        <v>25.32</v>
      </c>
      <c r="M110" s="1" t="n">
        <f aca="false">ROUND(G110*$M$117/$L$117*10,2)</f>
        <v>192.38</v>
      </c>
      <c r="N110" s="1" t="n">
        <f aca="false">ROUND(H110*$M$117/$L$117*10,2)</f>
        <v>590.36</v>
      </c>
      <c r="O110" s="1" t="n">
        <f aca="false">ROUND(I110*$M$117/$L$117*10,2)</f>
        <v>816</v>
      </c>
    </row>
    <row r="111" customFormat="false" ht="12.8" hidden="false" customHeight="false" outlineLevel="0" collapsed="false">
      <c r="A111" s="1" t="n">
        <v>12</v>
      </c>
      <c r="B111" s="1" t="s">
        <v>286</v>
      </c>
      <c r="E111" s="1" t="s">
        <v>287</v>
      </c>
      <c r="F111" s="1" t="n">
        <v>0.39</v>
      </c>
      <c r="G111" s="1" t="n">
        <v>20.4</v>
      </c>
      <c r="H111" s="1" t="n">
        <v>0.3</v>
      </c>
      <c r="I111" s="1" t="n">
        <v>22.27</v>
      </c>
      <c r="J111" s="1" t="n">
        <f aca="false">I111</f>
        <v>22.27</v>
      </c>
      <c r="L111" s="1" t="n">
        <f aca="false">ROUND(F111*$M$117/$L$117*10,2)</f>
        <v>14.74</v>
      </c>
      <c r="M111" s="1" t="n">
        <f aca="false">ROUND(G111*$M$117/$L$117*10,2)</f>
        <v>771.02</v>
      </c>
      <c r="N111" s="1" t="n">
        <f aca="false">ROUND(H111*$M$117/$L$117*10,2)</f>
        <v>11.34</v>
      </c>
      <c r="O111" s="1" t="n">
        <f aca="false">ROUND(I111*$M$117/$L$117*10,2)</f>
        <v>841.7</v>
      </c>
    </row>
    <row r="112" customFormat="false" ht="12.8" hidden="false" customHeight="false" outlineLevel="0" collapsed="false">
      <c r="A112" s="1" t="n">
        <v>12</v>
      </c>
      <c r="B112" s="1" t="s">
        <v>286</v>
      </c>
      <c r="C112" s="1" t="s">
        <v>288</v>
      </c>
      <c r="D112" s="1" t="s">
        <v>289</v>
      </c>
      <c r="E112" s="1" t="s">
        <v>290</v>
      </c>
      <c r="F112" s="1" t="n">
        <v>0.39</v>
      </c>
      <c r="G112" s="1" t="n">
        <v>20.4</v>
      </c>
      <c r="H112" s="1" t="n">
        <v>0.3</v>
      </c>
      <c r="I112" s="1" t="n">
        <v>22.68</v>
      </c>
      <c r="J112" s="1" t="n">
        <f aca="false">I112+F112</f>
        <v>23.07</v>
      </c>
      <c r="K112" s="1" t="n">
        <f aca="false">J112-J111</f>
        <v>0.800000000000001</v>
      </c>
      <c r="L112" s="1" t="n">
        <f aca="false">ROUND(F112*$M$117/$L$117*10,2)</f>
        <v>14.74</v>
      </c>
      <c r="M112" s="1" t="n">
        <f aca="false">ROUND(G112*$M$117/$L$117*10,2)</f>
        <v>771.02</v>
      </c>
      <c r="N112" s="1" t="n">
        <f aca="false">ROUND(H112*$M$117/$L$117*10,2)</f>
        <v>11.34</v>
      </c>
      <c r="O112" s="1" t="n">
        <f aca="false">ROUND(I112*$M$117/$L$117*10,2)</f>
        <v>857.2</v>
      </c>
    </row>
    <row r="113" customFormat="false" ht="12.8" hidden="false" customHeight="false" outlineLevel="0" collapsed="false">
      <c r="A113" s="1" t="n">
        <v>13</v>
      </c>
      <c r="B113" s="1" t="s">
        <v>291</v>
      </c>
      <c r="E113" s="1" t="s">
        <v>15</v>
      </c>
      <c r="F113" s="1" t="n">
        <v>0.67</v>
      </c>
      <c r="G113" s="1" t="n">
        <v>20.4</v>
      </c>
      <c r="H113" s="1" t="n">
        <v>0.3</v>
      </c>
      <c r="I113" s="1" t="n">
        <v>28.1</v>
      </c>
      <c r="J113" s="1" t="n">
        <v>28.1</v>
      </c>
      <c r="L113" s="1" t="n">
        <f aca="false">ROUND(F113*$M$117/$L$117*10,2)</f>
        <v>25.32</v>
      </c>
      <c r="M113" s="1" t="n">
        <f aca="false">ROUND(G113*$M$117/$L$117*10,2)</f>
        <v>771.02</v>
      </c>
      <c r="N113" s="1" t="n">
        <f aca="false">ROUND(H113*$M$117/$L$117*10,2)</f>
        <v>11.34</v>
      </c>
      <c r="O113" s="1" t="n">
        <f aca="false">ROUND(I113*$M$117/$L$117*10,2)</f>
        <v>1062.05</v>
      </c>
    </row>
    <row r="114" customFormat="false" ht="12.8" hidden="false" customHeight="false" outlineLevel="0" collapsed="false">
      <c r="A114" s="1" t="n">
        <v>13</v>
      </c>
      <c r="B114" s="1" t="s">
        <v>292</v>
      </c>
      <c r="E114" s="1" t="s">
        <v>15</v>
      </c>
      <c r="F114" s="1" t="n">
        <v>0.67</v>
      </c>
      <c r="G114" s="1" t="n">
        <v>5.09</v>
      </c>
      <c r="H114" s="1" t="n">
        <v>0.3</v>
      </c>
      <c r="I114" s="1" t="n">
        <v>28.1</v>
      </c>
      <c r="L114" s="1" t="n">
        <f aca="false">ROUND(F114*$M$117/$L$117*10,2)</f>
        <v>25.32</v>
      </c>
      <c r="M114" s="1" t="n">
        <f aca="false">ROUND(G114*$M$117/$L$117*10,2)</f>
        <v>192.38</v>
      </c>
      <c r="N114" s="1" t="n">
        <f aca="false">ROUND(H114*$M$117/$L$117*10,2)</f>
        <v>11.34</v>
      </c>
      <c r="O114" s="1" t="n">
        <f aca="false">ROUND(I114*$M$117/$L$117*10,2)</f>
        <v>1062.05</v>
      </c>
    </row>
    <row r="115" customFormat="false" ht="12.8" hidden="false" customHeight="false" outlineLevel="0" collapsed="false">
      <c r="A115" s="1" t="n">
        <v>13</v>
      </c>
      <c r="B115" s="1" t="s">
        <v>293</v>
      </c>
      <c r="E115" s="1" t="s">
        <v>15</v>
      </c>
      <c r="F115" s="1" t="n">
        <v>0.67</v>
      </c>
      <c r="G115" s="1" t="n">
        <v>5.09</v>
      </c>
      <c r="H115" s="1" t="n">
        <v>5.41</v>
      </c>
      <c r="I115" s="1" t="n">
        <v>28.1</v>
      </c>
      <c r="L115" s="1" t="n">
        <f aca="false">ROUND(F115*$M$117/$L$117*10,2)</f>
        <v>25.32</v>
      </c>
      <c r="M115" s="1" t="n">
        <f aca="false">ROUND(G115*$M$117/$L$117*10,2)</f>
        <v>192.38</v>
      </c>
      <c r="N115" s="1" t="n">
        <f aca="false">ROUND(H115*$M$117/$L$117*10,2)</f>
        <v>204.47</v>
      </c>
      <c r="O115" s="1" t="n">
        <f aca="false">ROUND(I115*$M$117/$L$117*10,2)</f>
        <v>1062.05</v>
      </c>
    </row>
    <row r="116" customFormat="false" ht="12.8" hidden="false" customHeight="false" outlineLevel="0" collapsed="false">
      <c r="A116" s="1" t="n">
        <v>13</v>
      </c>
      <c r="B116" s="1" t="s">
        <v>294</v>
      </c>
      <c r="C116" s="1" t="s">
        <v>24</v>
      </c>
      <c r="D116" s="1" t="s">
        <v>34</v>
      </c>
      <c r="E116" s="1" t="s">
        <v>34</v>
      </c>
      <c r="F116" s="1" t="n">
        <v>0.67</v>
      </c>
      <c r="G116" s="1" t="n">
        <v>10.19</v>
      </c>
      <c r="H116" s="1" t="n">
        <v>10.51</v>
      </c>
      <c r="I116" s="1" t="n">
        <v>28.1</v>
      </c>
      <c r="J116" s="1" t="n">
        <f aca="false">I116+F116</f>
        <v>28.77</v>
      </c>
      <c r="K116" s="1" t="n">
        <f aca="false">J116-J113</f>
        <v>0.669999999999998</v>
      </c>
      <c r="L116" s="1" t="n">
        <f aca="false">ROUND(F116*$M$117/$L$117*10,2)</f>
        <v>25.32</v>
      </c>
      <c r="M116" s="1" t="n">
        <f aca="false">ROUND(G116*$M$117/$L$117*10,2)</f>
        <v>385.13</v>
      </c>
      <c r="N116" s="1" t="n">
        <f aca="false">ROUND(H116*$M$117/$L$117*10,2)</f>
        <v>397.23</v>
      </c>
      <c r="O116" s="1" t="n">
        <f aca="false">ROUND(I116*$M$117/$L$117*10,2)</f>
        <v>1062.05</v>
      </c>
    </row>
    <row r="117" customFormat="false" ht="12.8" hidden="false" customHeight="false" outlineLevel="0" collapsed="false">
      <c r="J117" s="1" t="n">
        <f aca="false">J116+0.3</f>
        <v>29.07</v>
      </c>
      <c r="L117" s="1" t="n">
        <v>25.4</v>
      </c>
      <c r="M117" s="1" t="n">
        <v>96</v>
      </c>
    </row>
    <row r="118" customFormat="false" ht="12.8" hidden="false" customHeight="false" outlineLevel="0" collapsed="false">
      <c r="L118" s="1" t="n">
        <v>771.12</v>
      </c>
      <c r="M118" s="1" t="n">
        <f aca="false">L118/L117</f>
        <v>30.3590551181102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836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2026-05-29T20:16:02Z</dcterms:created>
  <dc:creator/>
  <dc:description/>
  <dc:language>pt-BR</dc:language>
  <cp:lastModifiedBy/>
  <dcterms:modified xsi:type="dcterms:W3CDTF">2026-06-07T15:54:39Z</dcterms:modified>
  <cp:revision>50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